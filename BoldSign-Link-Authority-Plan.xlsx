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Findings" sheetId="2" state="visible" r:id="rId4"/>
    <sheet name="Tracker" sheetId="3" state="visible" r:id="rId5"/>
    <sheet name="Baseline and KPIs" sheetId="4" state="visible" r:id="rId6"/>
    <sheet name="Competitor Gap" sheetId="5" state="visible" r:id="rId7"/>
    <sheet name="Claims Control" sheetId="6" state="visible" r:id="rId8"/>
    <sheet name="Bio Library" sheetId="7" state="visible" r:id="rId9"/>
    <sheet name="Priority Order" sheetId="8" state="visible" r:id="rId10"/>
    <sheet name="Schedule" sheetId="9" state="visible" r:id="rId11"/>
    <sheet name="UTM Convention" sheetId="10" state="visible" r:id="rId12"/>
    <sheet name="Do Not Do"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<sst xmlns="http://schemas.openxmlformats.org/spreadsheetml/2006/main" count="1189" uniqueCount="746">
  <si>
    <t xml:space="preserve">BoldSign Link Authority Plan 2026</t>
  </si>
  <si>
    <t xml:space="preserve">Prepared August 17, 2026. Owner: Nihal Mohamed Ali. Reviewer: Meikandan. Companion to the v2 patch document.</t>
  </si>
  <si>
    <t xml:space="preserve">How to use this workbook</t>
  </si>
  <si>
    <t xml:space="preserve">- Every tab is a standalone table. Fill yellow cells only. Yellow means you supply the value.</t>
  </si>
  <si>
    <t xml:space="preserve">- Workstream A is coverage. Workstream B is authority. Both run in parallel from week 1.</t>
  </si>
  <si>
    <t xml:space="preserve">- The status counts below update automatically as you change the Status column on the Tracker tab.</t>
  </si>
  <si>
    <t xml:space="preserve">- The three dropped items (Scribd, Issuu, AppSumo) stay in the Tracker marked Dropped so nobody re-adds them.</t>
  </si>
  <si>
    <t xml:space="preserve">- No em dashes anywhere by request. Colours follow the BoldSign brand palette.</t>
  </si>
  <si>
    <t xml:space="preserve">Live status rollup</t>
  </si>
  <si>
    <t xml:space="preserve">Status</t>
  </si>
  <si>
    <t xml:space="preserve">Count</t>
  </si>
  <si>
    <t xml:space="preserve">Stream A count</t>
  </si>
  <si>
    <t xml:space="preserve">Stream B count</t>
  </si>
  <si>
    <t xml:space="preserve">Not started</t>
  </si>
  <si>
    <t xml:space="preserve">Submitted</t>
  </si>
  <si>
    <t xml:space="preserve">Live</t>
  </si>
  <si>
    <t xml:space="preserve">Needs review</t>
  </si>
  <si>
    <t xml:space="preserve">Rejected</t>
  </si>
  <si>
    <t xml:space="preserve">Dropped</t>
  </si>
  <si>
    <t xml:space="preserve">Total tracked</t>
  </si>
  <si>
    <t xml:space="preserve">Tab guide</t>
  </si>
  <si>
    <t xml:space="preserve">Tab</t>
  </si>
  <si>
    <t xml:space="preserve">What it is</t>
  </si>
  <si>
    <t xml:space="preserve">Action needed</t>
  </si>
  <si>
    <t xml:space="preserve">Findings</t>
  </si>
  <si>
    <t xml:space="preserve">The 17 issues found in the two source files</t>
  </si>
  <si>
    <t xml:space="preserve">Read first</t>
  </si>
  <si>
    <t xml:space="preserve">Tracker</t>
  </si>
  <si>
    <t xml:space="preserve">All 49 rows: 46 active plus 3 dropped, pre-populated</t>
  </si>
  <si>
    <t xml:space="preserve">Fill Status, Owner, dates, URLs as you go</t>
  </si>
  <si>
    <t xml:space="preserve">Baseline and KPIs</t>
  </si>
  <si>
    <t xml:space="preserve">Metrics to prove the programme worked</t>
  </si>
  <si>
    <t xml:space="preserve">Fill baseline column before week 1</t>
  </si>
  <si>
    <t xml:space="preserve">Competitor Gap</t>
  </si>
  <si>
    <t xml:space="preserve">Referring domain gap vs competitors</t>
  </si>
  <si>
    <t xml:space="preserve">Fill after Semrush units are restored</t>
  </si>
  <si>
    <t xml:space="preserve">Claims Control</t>
  </si>
  <si>
    <t xml:space="preserve">Version control for pasted facts</t>
  </si>
  <si>
    <t xml:space="preserve">Fill owner and review dates</t>
  </si>
  <si>
    <t xml:space="preserve">Bio Library</t>
  </si>
  <si>
    <t xml:space="preserve">Six distinct bios and where each goes</t>
  </si>
  <si>
    <t xml:space="preserve">Copy exact, do not blend angles</t>
  </si>
  <si>
    <t xml:space="preserve">Priority Order</t>
  </si>
  <si>
    <t xml:space="preserve">Revised sequence, both streams</t>
  </si>
  <si>
    <t xml:space="preserve">Follow top to bottom</t>
  </si>
  <si>
    <t xml:space="preserve">Schedule</t>
  </si>
  <si>
    <t xml:space="preserve">Honest capacity model and review gates</t>
  </si>
  <si>
    <t xml:space="preserve">Adjust dates, not the sequence</t>
  </si>
  <si>
    <t xml:space="preserve">UTM Convention</t>
  </si>
  <si>
    <t xml:space="preserve">Exact tracking pattern and examples</t>
  </si>
  <si>
    <t xml:space="preserve">Build the GA4 filter before week 1</t>
  </si>
  <si>
    <t xml:space="preserve">Do Not Do</t>
  </si>
  <si>
    <t xml:space="preserve">14 non-negotiable prohibitions</t>
  </si>
  <si>
    <t xml:space="preserve">Read before any outreach</t>
  </si>
  <si>
    <t xml:space="preserve">Findings: what needs to improve</t>
  </si>
  <si>
    <t xml:space="preserve">17 issues across both source files, highest severity first.</t>
  </si>
  <si>
    <t xml:space="preserve">#</t>
  </si>
  <si>
    <t xml:space="preserve">Issue</t>
  </si>
  <si>
    <t xml:space="preserve">Severity</t>
  </si>
  <si>
    <t xml:space="preserve">Where</t>
  </si>
  <si>
    <t xml:space="preserve">Two files share the same H1 and roughly 95 percent identical body. The Guide is a superset of the DA-Action-Plan file. Version drift risk.</t>
  </si>
  <si>
    <t xml:space="preserve">High</t>
  </si>
  <si>
    <t xml:space="preserve">Both files</t>
  </si>
  <si>
    <t xml:space="preserve">Titled a Domain Authority plan, but around 20 of 28 actions are nofollow or UGC surfaces. Almost nothing passes link equity.</t>
  </si>
  <si>
    <t xml:space="preserve">Whole plan</t>
  </si>
  <si>
    <t xml:space="preserve">No baseline, no KPI, no success criteria. Cannot prove the programme worked.</t>
  </si>
  <si>
    <t xml:space="preserve">Goal block</t>
  </si>
  <si>
    <t xml:space="preserve">No referring domain gap analysis against competitors. The plan benchmarks profile presence, never link sources.</t>
  </si>
  <si>
    <t xml:space="preserve">Missing</t>
  </si>
  <si>
    <t xml:space="preserve">Syncfusion.com and subdomains still in the disavow file. The single highest value zero cost authority action, and it is absent.</t>
  </si>
  <si>
    <t xml:space="preserve">No earned or editorial link workstream at all. No digital PR, no unlinked mention reclamation, no broken link building, no linkable data assets.</t>
  </si>
  <si>
    <t xml:space="preserve">Hardcoded facts pasted into 28 profiles with no version control. Gartner Digital Markets penalises pricing inaccuracy.</t>
  </si>
  <si>
    <t xml:space="preserve">Medium</t>
  </si>
  <si>
    <t xml:space="preserve">Assets block</t>
  </si>
  <si>
    <t xml:space="preserve">20 paste-ready bios are the same 8 phrases reshuffled. Reads as boilerplate to directories and to language models.</t>
  </si>
  <si>
    <t xml:space="preserve">All 28 actions</t>
  </si>
  <si>
    <t xml:space="preserve">Eversign and XodoSign listed as separate competitors. Same product post rebrand. Xome and Maverick still unflagged as notary services.</t>
  </si>
  <si>
    <t xml:space="preserve">Competitor block</t>
  </si>
  <si>
    <t xml:space="preserve">SlideShare, Scribd, Issuu sit at priority 5, 6, 7. Near zero value in 2026, all nofollow, same PDF three times.</t>
  </si>
  <si>
    <t xml:space="preserve">Phase 1</t>
  </si>
  <si>
    <t xml:space="preserve">Google Workspace Marketplace ranked 26 of 28, despite being the confirmed highest priority marketplace gap. Weeks of lead time means it must start now.</t>
  </si>
  <si>
    <t xml:space="preserve">Priority table</t>
  </si>
  <si>
    <t xml:space="preserve">No anchor text plan, no target URL distribution. Everything points at homepage or pricing.</t>
  </si>
  <si>
    <t xml:space="preserve">AppSumo lifetime deal positioning would break the unlimited envelope story. Flagged too softly.</t>
  </si>
  <si>
    <t xml:space="preserve">Action 28</t>
  </si>
  <si>
    <t xml:space="preserve">Missing surfaces: package registries, Microsoft AppSource, MCP registries beyond two, a real Product Hunt launch, Trustpilot, Gartner Peer Insights, Tekpon, SaaSworthy.</t>
  </si>
  <si>
    <t xml:space="preserve">No owner column, no dates, no capacity math. 28 actions in 4 weeks is not achievable solo.</t>
  </si>
  <si>
    <t xml:space="preserve">F5Bot workflow overlaps the live Reddit calendar with no cross-reference.</t>
  </si>
  <si>
    <t xml:space="preserve">Low</t>
  </si>
  <si>
    <t xml:space="preserve">Action 22</t>
  </si>
  <si>
    <t xml:space="preserve">Verified URL section has no re-verification date or cadence.</t>
  </si>
  <si>
    <t xml:space="preserve">Guide only</t>
  </si>
  <si>
    <t xml:space="preserve">Master tracker: 46 actions plus 3 dropped</t>
  </si>
  <si>
    <t xml:space="preserve">Fill yellow columns as you execute. Status drives the Dashboard rollup. Dropped rows stay for the record.</t>
  </si>
  <si>
    <t xml:space="preserve">Action ID</t>
  </si>
  <si>
    <t xml:space="preserve">Stream</t>
  </si>
  <si>
    <t xml:space="preserve">Platform / Action</t>
  </si>
  <si>
    <t xml:space="preserve">Difficulty</t>
  </si>
  <si>
    <t xml:space="preserve">Priority</t>
  </si>
  <si>
    <t xml:space="preserve">Owner</t>
  </si>
  <si>
    <t xml:space="preserve">Target Date</t>
  </si>
  <si>
    <t xml:space="preserve">Live URL</t>
  </si>
  <si>
    <t xml:space="preserve">Login Owner</t>
  </si>
  <si>
    <t xml:space="preserve">Category Used</t>
  </si>
  <si>
    <t xml:space="preserve">Bio Angle Used</t>
  </si>
  <si>
    <t xml:space="preserve">Competitors Benchmarked</t>
  </si>
  <si>
    <t xml:space="preserve">Link Type Verified</t>
  </si>
  <si>
    <t xml:space="preserve">Review Count</t>
  </si>
  <si>
    <t xml:space="preserve">UTM Content Tag</t>
  </si>
  <si>
    <t xml:space="preserve">Date Submitted</t>
  </si>
  <si>
    <t xml:space="preserve">Date Live</t>
  </si>
  <si>
    <t xml:space="preserve">Next Action</t>
  </si>
  <si>
    <t xml:space="preserve">Notes</t>
  </si>
  <si>
    <t xml:space="preserve">A00</t>
  </si>
  <si>
    <t xml:space="preserve">B</t>
  </si>
  <si>
    <t xml:space="preserve">Syncfusion disavow removal and cross-links</t>
  </si>
  <si>
    <t xml:space="preserve">Very easy</t>
  </si>
  <si>
    <t xml:space="preserve">0</t>
  </si>
  <si>
    <t xml:space="preserve">n/a</t>
  </si>
  <si>
    <t xml:space="preserve">do-follow</t>
  </si>
  <si>
    <t xml:space="preserve">a00</t>
  </si>
  <si>
    <t xml:space="preserve">Remove syncfusion.com from disavow then re-audit all entries</t>
  </si>
  <si>
    <t xml:space="preserve">Highest value item in the plan. Zero cost.</t>
  </si>
  <si>
    <t xml:space="preserve">B01</t>
  </si>
  <si>
    <t xml:space="preserve">Referring domain gap analysis</t>
  </si>
  <si>
    <t xml:space="preserve">Easy</t>
  </si>
  <si>
    <t xml:space="preserve">1</t>
  </si>
  <si>
    <t xml:space="preserve">Tier 1 all</t>
  </si>
  <si>
    <t xml:space="preserve">b01</t>
  </si>
  <si>
    <t xml:space="preserve">Run Semrush Backlink Gap vs 5 competitors</t>
  </si>
  <si>
    <t xml:space="preserve">Needs API units allocated first</t>
  </si>
  <si>
    <t xml:space="preserve">B02</t>
  </si>
  <si>
    <t xml:space="preserve">Unlinked brand mention reclamation</t>
  </si>
  <si>
    <t xml:space="preserve">2</t>
  </si>
  <si>
    <t xml:space="preserve">varies</t>
  </si>
  <si>
    <t xml:space="preserve">b02</t>
  </si>
  <si>
    <t xml:space="preserve">Set up brand monitoring alerts</t>
  </si>
  <si>
    <t xml:space="preserve">Weekly 1 hour ongoing</t>
  </si>
  <si>
    <t xml:space="preserve">A01</t>
  </si>
  <si>
    <t xml:space="preserve">A</t>
  </si>
  <si>
    <t xml:space="preserve">AlternativeTo</t>
  </si>
  <si>
    <t xml:space="preserve">3</t>
  </si>
  <si>
    <t xml:space="preserve">https://alternativeto.net/software/boldsign/</t>
  </si>
  <si>
    <t xml:space="preserve">Electronic Signature, Document Signing, Contract Management, PDF Signing, SaaS</t>
  </si>
  <si>
    <t xml:space="preserve">Angle 1 cost</t>
  </si>
  <si>
    <t xml:space="preserve">DocuSign, PandaDoc, SignWell, DocHub, DottedSign</t>
  </si>
  <si>
    <t xml:space="preserve">nofollow</t>
  </si>
  <si>
    <t xml:space="preserve">a01</t>
  </si>
  <si>
    <t xml:space="preserve">Claim listing and map alternatives</t>
  </si>
  <si>
    <t xml:space="preserve">Check Inkless presence first</t>
  </si>
  <si>
    <t xml:space="preserve">A11</t>
  </si>
  <si>
    <t xml:space="preserve">G2 optimisation and review campaign</t>
  </si>
  <si>
    <t xml:space="preserve">4</t>
  </si>
  <si>
    <t xml:space="preserve">https://www.g2.com/products/boldsign/reviews</t>
  </si>
  <si>
    <t xml:space="preserve">Electronic Signature, Digital Signature</t>
  </si>
  <si>
    <t xml:space="preserve">n/a review surface</t>
  </si>
  <si>
    <t xml:space="preserve">DocuSign, PandaDoc, SignNow, Dropbox Sign, Zoho Sign, Adobe, Inkless</t>
  </si>
  <si>
    <t xml:space="preserve">278</t>
  </si>
  <si>
    <t xml:space="preserve">a11</t>
  </si>
  <si>
    <t xml:space="preserve">Merge weak duplicate API listing then launch review push</t>
  </si>
  <si>
    <t xml:space="preserve">Do not paste review count into static copy</t>
  </si>
  <si>
    <t xml:space="preserve">A12a</t>
  </si>
  <si>
    <t xml:space="preserve">Capterra</t>
  </si>
  <si>
    <t xml:space="preserve">5</t>
  </si>
  <si>
    <t xml:space="preserve">Electronic Signature, Document Management, Contract Management</t>
  </si>
  <si>
    <t xml:space="preserve">Angle 5 SMB</t>
  </si>
  <si>
    <t xml:space="preserve">DocuSign, PandaDoc, SignNow, Signeasy</t>
  </si>
  <si>
    <t xml:space="preserve">a12a</t>
  </si>
  <si>
    <t xml:space="preserve">Claim vendor profile</t>
  </si>
  <si>
    <t xml:space="preserve">Gartner Digital Markets requires pricing accuracy</t>
  </si>
  <si>
    <t xml:space="preserve">A12b</t>
  </si>
  <si>
    <t xml:space="preserve">GetApp</t>
  </si>
  <si>
    <t xml:space="preserve">Electronic Signature, Document Management</t>
  </si>
  <si>
    <t xml:space="preserve">DocuSign, PandaDoc, SignNow</t>
  </si>
  <si>
    <t xml:space="preserve">a12b</t>
  </si>
  <si>
    <t xml:space="preserve">Sync facts with Capterra but vary wording</t>
  </si>
  <si>
    <t xml:space="preserve">A12c</t>
  </si>
  <si>
    <t xml:space="preserve">Software Advice</t>
  </si>
  <si>
    <t xml:space="preserve">a12c</t>
  </si>
  <si>
    <t xml:space="preserve">A29a</t>
  </si>
  <si>
    <t xml:space="preserve">NuGet package pages</t>
  </si>
  <si>
    <t xml:space="preserve">6</t>
  </si>
  <si>
    <t xml:space="preserve">.NET SDK</t>
  </si>
  <si>
    <t xml:space="preserve">Angle 3 developer</t>
  </si>
  <si>
    <t xml:space="preserve">DocuSign, Dropbox Sign</t>
  </si>
  <si>
    <t xml:space="preserve">a29a</t>
  </si>
  <si>
    <t xml:space="preserve">Populate project URL docs URL and repo fields</t>
  </si>
  <si>
    <t xml:space="preserve">Syncfusion .NET audience already here</t>
  </si>
  <si>
    <t xml:space="preserve">A29b</t>
  </si>
  <si>
    <t xml:space="preserve">npm package pages</t>
  </si>
  <si>
    <t xml:space="preserve">Node SDK</t>
  </si>
  <si>
    <t xml:space="preserve">a29b</t>
  </si>
  <si>
    <t xml:space="preserve">Populate homepage repository keywords</t>
  </si>
  <si>
    <t xml:space="preserve">A29c</t>
  </si>
  <si>
    <t xml:space="preserve">PyPI package pages</t>
  </si>
  <si>
    <t xml:space="preserve">Python SDK</t>
  </si>
  <si>
    <t xml:space="preserve">DocuSign</t>
  </si>
  <si>
    <t xml:space="preserve">a29c</t>
  </si>
  <si>
    <t xml:space="preserve">Populate Project URLs block</t>
  </si>
  <si>
    <t xml:space="preserve">A29d</t>
  </si>
  <si>
    <t xml:space="preserve">Maven Central</t>
  </si>
  <si>
    <t xml:space="preserve">Java SDK</t>
  </si>
  <si>
    <t xml:space="preserve">a29d</t>
  </si>
  <si>
    <t xml:space="preserve">Populate POM url and scm</t>
  </si>
  <si>
    <t xml:space="preserve">A29e</t>
  </si>
  <si>
    <t xml:space="preserve">Packagist</t>
  </si>
  <si>
    <t xml:space="preserve">PHP SDK</t>
  </si>
  <si>
    <t xml:space="preserve">a29e</t>
  </si>
  <si>
    <t xml:space="preserve">Populate composer.json homepage</t>
  </si>
  <si>
    <t xml:space="preserve">A14</t>
  </si>
  <si>
    <t xml:space="preserve">GitHub org and repo optimisation</t>
  </si>
  <si>
    <t xml:space="preserve">7</t>
  </si>
  <si>
    <t xml:space="preserve">https://github.com/boldsign</t>
  </si>
  <si>
    <t xml:space="preserve">Developer</t>
  </si>
  <si>
    <t xml:space="preserve">DocuSign org, DocuSign OpenAPI specs</t>
  </si>
  <si>
    <t xml:space="preserve">a14</t>
  </si>
  <si>
    <t xml:space="preserve">Pin MCP and SDK repos add topics</t>
  </si>
  <si>
    <t xml:space="preserve">B05</t>
  </si>
  <si>
    <t xml:space="preserve">Free tool roundup outreach</t>
  </si>
  <si>
    <t xml:space="preserve">Easy-medium</t>
  </si>
  <si>
    <t xml:space="preserve">8</t>
  </si>
  <si>
    <t xml:space="preserve">do-follow target</t>
  </si>
  <si>
    <t xml:space="preserve">b05</t>
  </si>
  <si>
    <t xml:space="preserve">Build roundup target list per tool</t>
  </si>
  <si>
    <t xml:space="preserve">Prioritise no-signup tools</t>
  </si>
  <si>
    <t xml:space="preserve">A02</t>
  </si>
  <si>
    <t xml:space="preserve">SourceForge</t>
  </si>
  <si>
    <t xml:space="preserve">9</t>
  </si>
  <si>
    <t xml:space="preserve">Electronic Signature, Document Management, Contract Management, Workflow Management</t>
  </si>
  <si>
    <t xml:space="preserve">DocuSign, PandaDoc, Zoho Sign</t>
  </si>
  <si>
    <t xml:space="preserve">partial do-follow</t>
  </si>
  <si>
    <t xml:space="preserve">a02</t>
  </si>
  <si>
    <t xml:space="preserve">Create vendor account and submit</t>
  </si>
  <si>
    <t xml:space="preserve">A03</t>
  </si>
  <si>
    <t xml:space="preserve">Slashdot</t>
  </si>
  <si>
    <t xml:space="preserve">10</t>
  </si>
  <si>
    <t xml:space="preserve">Same as SourceForge</t>
  </si>
  <si>
    <t xml:space="preserve">mirrors SourceForge</t>
  </si>
  <si>
    <t xml:space="preserve">a03</t>
  </si>
  <si>
    <t xml:space="preserve">Reuse SourceForge assets vary copy</t>
  </si>
  <si>
    <t xml:space="preserve">A04</t>
  </si>
  <si>
    <t xml:space="preserve">SaaSHub</t>
  </si>
  <si>
    <t xml:space="preserve">11</t>
  </si>
  <si>
    <t xml:space="preserve">eSignature, Document Management, Contract Management, Legal Tech</t>
  </si>
  <si>
    <t xml:space="preserve">PandaDoc, DocuSign, Dropbox Sign, SignNow, Adobe</t>
  </si>
  <si>
    <t xml:space="preserve">a04</t>
  </si>
  <si>
    <t xml:space="preserve">Claim or submit then add to alternative pages</t>
  </si>
  <si>
    <t xml:space="preserve">A08</t>
  </si>
  <si>
    <t xml:space="preserve">Crunchbase</t>
  </si>
  <si>
    <t xml:space="preserve">12</t>
  </si>
  <si>
    <t xml:space="preserve">Electronic Signature, SaaS, Document Management, Developer APIs</t>
  </si>
  <si>
    <t xml:space="preserve">a08</t>
  </si>
  <si>
    <t xml:space="preserve">Create as Syncfusion product entity</t>
  </si>
  <si>
    <t xml:space="preserve">Link parent org</t>
  </si>
  <si>
    <t xml:space="preserve">A09</t>
  </si>
  <si>
    <t xml:space="preserve">LinkedIn showcase and Products tab</t>
  </si>
  <si>
    <t xml:space="preserve">13</t>
  </si>
  <si>
    <t xml:space="preserve">https://www.linkedin.com/showcase/bold-sign-app</t>
  </si>
  <si>
    <t xml:space="preserve">Software Development</t>
  </si>
  <si>
    <t xml:space="preserve">Angle 2 compliance</t>
  </si>
  <si>
    <t xml:space="preserve">DocuSign, PandaDoc, OneSpan</t>
  </si>
  <si>
    <t xml:space="preserve">a09</t>
  </si>
  <si>
    <t xml:space="preserve">Update tagline about and parent company link</t>
  </si>
  <si>
    <t xml:space="preserve">Products tab is separate from showcase</t>
  </si>
  <si>
    <t xml:space="preserve">B06</t>
  </si>
  <si>
    <t xml:space="preserve">Broken link building on rebrand wave</t>
  </si>
  <si>
    <t xml:space="preserve">14</t>
  </si>
  <si>
    <t xml:space="preserve">HelloSign, Eversign, SignRequest, EchoSign</t>
  </si>
  <si>
    <t xml:space="preserve">b06</t>
  </si>
  <si>
    <t xml:space="preserve">Run dead URL analysis on rebranded domains</t>
  </si>
  <si>
    <t xml:space="preserve">Highest conversion outreach angle</t>
  </si>
  <si>
    <t xml:space="preserve">B07</t>
  </si>
  <si>
    <t xml:space="preserve">Journalist response programme</t>
  </si>
  <si>
    <t xml:space="preserve">15</t>
  </si>
  <si>
    <t xml:space="preserve">b07</t>
  </si>
  <si>
    <t xml:space="preserve">Set up Featured Qwoted SourceBottle alerts</t>
  </si>
  <si>
    <t xml:space="preserve">Needs named spokesperson</t>
  </si>
  <si>
    <t xml:space="preserve">A31</t>
  </si>
  <si>
    <t xml:space="preserve">MCP registries expanded</t>
  </si>
  <si>
    <t xml:space="preserve">16</t>
  </si>
  <si>
    <t xml:space="preserve">AI Agents</t>
  </si>
  <si>
    <t xml:space="preserve">Angle 6 AI</t>
  </si>
  <si>
    <t xml:space="preserve">DocuSign API</t>
  </si>
  <si>
    <t xml:space="preserve">mixed</t>
  </si>
  <si>
    <t xml:space="preserve">a31</t>
  </si>
  <si>
    <t xml:space="preserve">Verify each registry is live then submit</t>
  </si>
  <si>
    <t xml:space="preserve">Cross-check llms.txt MCP config block</t>
  </si>
  <si>
    <t xml:space="preserve">A13</t>
  </si>
  <si>
    <t xml:space="preserve">TrustRadius</t>
  </si>
  <si>
    <t xml:space="preserve">17</t>
  </si>
  <si>
    <t xml:space="preserve">Electronic Signature</t>
  </si>
  <si>
    <t xml:space="preserve">a13</t>
  </si>
  <si>
    <t xml:space="preserve">Submit vendor request</t>
  </si>
  <si>
    <t xml:space="preserve">A16</t>
  </si>
  <si>
    <t xml:space="preserve">Pabbly Connect cross-link</t>
  </si>
  <si>
    <t xml:space="preserve">18</t>
  </si>
  <si>
    <t xml:space="preserve">https://www.pabbly.com/connect/integrations/boldsign/</t>
  </si>
  <si>
    <t xml:space="preserve">Integration</t>
  </si>
  <si>
    <t xml:space="preserve">Angle 4 workflow</t>
  </si>
  <si>
    <t xml:space="preserve">a16</t>
  </si>
  <si>
    <t xml:space="preserve">Confirm live then request copy refresh</t>
  </si>
  <si>
    <t xml:space="preserve">Already live</t>
  </si>
  <si>
    <t xml:space="preserve">B10</t>
  </si>
  <si>
    <t xml:space="preserve">Partner co-marketing links</t>
  </si>
  <si>
    <t xml:space="preserve">19</t>
  </si>
  <si>
    <t xml:space="preserve">b10</t>
  </si>
  <si>
    <t xml:space="preserve">Audit partner pages for existing links</t>
  </si>
  <si>
    <t xml:space="preserve">Include Syncfusion partner network</t>
  </si>
  <si>
    <t xml:space="preserve">A15</t>
  </si>
  <si>
    <t xml:space="preserve">Postman public collection</t>
  </si>
  <si>
    <t xml:space="preserve">20</t>
  </si>
  <si>
    <t xml:space="preserve">DocuSign public workspace, Signeasy API</t>
  </si>
  <si>
    <t xml:space="preserve">a15</t>
  </si>
  <si>
    <t xml:space="preserve">Create workspace and publish</t>
  </si>
  <si>
    <t xml:space="preserve">Submit to API Network</t>
  </si>
  <si>
    <t xml:space="preserve">A17</t>
  </si>
  <si>
    <t xml:space="preserve">Zapier templates and optimisation</t>
  </si>
  <si>
    <t xml:space="preserve">21</t>
  </si>
  <si>
    <t xml:space="preserve">https://zapier.com/apps/boldsign/integrations</t>
  </si>
  <si>
    <t xml:space="preserve">Signatures</t>
  </si>
  <si>
    <t xml:space="preserve">DocuSign, SignNow, SignWell, Zoho Sign, XodoSign</t>
  </si>
  <si>
    <t xml:space="preserve">a17</t>
  </si>
  <si>
    <t xml:space="preserve">Publish 5 Zap templates</t>
  </si>
  <si>
    <t xml:space="preserve">A18</t>
  </si>
  <si>
    <t xml:space="preserve">HubSpot Marketplace</t>
  </si>
  <si>
    <t xml:space="preserve">22</t>
  </si>
  <si>
    <t xml:space="preserve">CRM</t>
  </si>
  <si>
    <t xml:space="preserve">DocuSign, PandaDoc, Dropbox Sign</t>
  </si>
  <si>
    <t xml:space="preserve">a18</t>
  </si>
  <si>
    <t xml:space="preserve">Refresh screenshots and use cases</t>
  </si>
  <si>
    <t xml:space="preserve">Already live. Pursue certification</t>
  </si>
  <si>
    <t xml:space="preserve">A19</t>
  </si>
  <si>
    <t xml:space="preserve">Salesforce AppExchange</t>
  </si>
  <si>
    <t xml:space="preserve">23</t>
  </si>
  <si>
    <t xml:space="preserve">DocuSign, PandaDoc, Adobe</t>
  </si>
  <si>
    <t xml:space="preserve">a19</t>
  </si>
  <si>
    <t xml:space="preserve">Refresh assets and collect reviews</t>
  </si>
  <si>
    <t xml:space="preserve">A23</t>
  </si>
  <si>
    <t xml:space="preserve">AI tool directories</t>
  </si>
  <si>
    <t xml:space="preserve">24</t>
  </si>
  <si>
    <t xml:space="preserve">Productivity, Business, Legal, Document Automation, AI Agents</t>
  </si>
  <si>
    <t xml:space="preserve">PandaDoc, DocuSign, Jotform</t>
  </si>
  <si>
    <t xml:space="preserve">a23</t>
  </si>
  <si>
    <t xml:space="preserve">Submit to Futurepedia Toolify TAAFT</t>
  </si>
  <si>
    <t xml:space="preserve">A33</t>
  </si>
  <si>
    <t xml:space="preserve">Second-tier directories</t>
  </si>
  <si>
    <t xml:space="preserve">25</t>
  </si>
  <si>
    <t xml:space="preserve">Tier 1</t>
  </si>
  <si>
    <t xml:space="preserve">a33</t>
  </si>
  <si>
    <t xml:space="preserve">Verify free listing before spending time</t>
  </si>
  <si>
    <t xml:space="preserve">Tekpon SaaSworthy GoodFirms Crozdesk Trustpilot Gartner Peer Insights</t>
  </si>
  <si>
    <t xml:space="preserve">B03</t>
  </si>
  <si>
    <t xml:space="preserve">Legality reference build out</t>
  </si>
  <si>
    <t xml:space="preserve">26</t>
  </si>
  <si>
    <t xml:space="preserve">https://www.boldsign.com/electronic-signature-legality/</t>
  </si>
  <si>
    <t xml:space="preserve">b03</t>
  </si>
  <si>
    <t xml:space="preserve">Add per-jurisdiction detail and last reviewed dates</t>
  </si>
  <si>
    <t xml:space="preserve">CollectionPage schema already live</t>
  </si>
  <si>
    <t xml:space="preserve">B04</t>
  </si>
  <si>
    <t xml:space="preserve">eSignature statistics page</t>
  </si>
  <si>
    <t xml:space="preserve">27</t>
  </si>
  <si>
    <t xml:space="preserve">b04</t>
  </si>
  <si>
    <t xml:space="preserve">Source every figure and add original data</t>
  </si>
  <si>
    <t xml:space="preserve">Highest yield passive format</t>
  </si>
  <si>
    <t xml:space="preserve">B11</t>
  </si>
  <si>
    <t xml:space="preserve">Developer content and canonicals</t>
  </si>
  <si>
    <t xml:space="preserve">28</t>
  </si>
  <si>
    <t xml:space="preserve">b11</t>
  </si>
  <si>
    <t xml:space="preserve">Stack Overflow answers and Dev.to with canonical</t>
  </si>
  <si>
    <t xml:space="preserve">A10</t>
  </si>
  <si>
    <t xml:space="preserve">Wikidata via Syncfusion item</t>
  </si>
  <si>
    <t xml:space="preserve">29</t>
  </si>
  <si>
    <t xml:space="preserve">Neutral description</t>
  </si>
  <si>
    <t xml:space="preserve">DocuSign Q5287613</t>
  </si>
  <si>
    <t xml:space="preserve">a10</t>
  </si>
  <si>
    <t xml:space="preserve">Add BoldSign as product statement on Syncfusion item first</t>
  </si>
  <si>
    <t xml:space="preserve">Do not create standalone item without secondary sources</t>
  </si>
  <si>
    <t xml:space="preserve">A05</t>
  </si>
  <si>
    <t xml:space="preserve">SlideShare once only</t>
  </si>
  <si>
    <t xml:space="preserve">30</t>
  </si>
  <si>
    <t xml:space="preserve">DocuSign, Adobe, PandaDoc</t>
  </si>
  <si>
    <t xml:space="preserve">a05</t>
  </si>
  <si>
    <t xml:space="preserve">Upload one genuinely useful deck</t>
  </si>
  <si>
    <t xml:space="preserve">Demoted from priority 5</t>
  </si>
  <si>
    <t xml:space="preserve">A20</t>
  </si>
  <si>
    <t xml:space="preserve">Make integration</t>
  </si>
  <si>
    <t xml:space="preserve">31</t>
  </si>
  <si>
    <t xml:space="preserve">Automation</t>
  </si>
  <si>
    <t xml:space="preserve">a20</t>
  </si>
  <si>
    <t xml:space="preserve">Feasibility check first</t>
  </si>
  <si>
    <t xml:space="preserve">A21</t>
  </si>
  <si>
    <t xml:space="preserve">n8n integration or community node</t>
  </si>
  <si>
    <t xml:space="preserve">32</t>
  </si>
  <si>
    <t xml:space="preserve">DocuSign, Dropbox Sign, SignNow</t>
  </si>
  <si>
    <t xml:space="preserve">a21</t>
  </si>
  <si>
    <t xml:space="preserve">Community node first if official is slow</t>
  </si>
  <si>
    <t xml:space="preserve">B08</t>
  </si>
  <si>
    <t xml:space="preserve">Guest contributions</t>
  </si>
  <si>
    <t xml:space="preserve">33</t>
  </si>
  <si>
    <t xml:space="preserve">b08</t>
  </si>
  <si>
    <t xml:space="preserve">Build target publication list</t>
  </si>
  <si>
    <t xml:space="preserve">Never accept paid placement</t>
  </si>
  <si>
    <t xml:space="preserve">A32</t>
  </si>
  <si>
    <t xml:space="preserve">Product Hunt launch</t>
  </si>
  <si>
    <t xml:space="preserve">34</t>
  </si>
  <si>
    <t xml:space="preserve">Documenso</t>
  </si>
  <si>
    <t xml:space="preserve">a32</t>
  </si>
  <si>
    <t xml:space="preserve">Pick discrete asset to launch not core platform</t>
  </si>
  <si>
    <t xml:space="preserve">Replaces AppSumo</t>
  </si>
  <si>
    <t xml:space="preserve">A26</t>
  </si>
  <si>
    <t xml:space="preserve">Slack App Directory</t>
  </si>
  <si>
    <t xml:space="preserve">Difficult</t>
  </si>
  <si>
    <t xml:space="preserve">35</t>
  </si>
  <si>
    <t xml:space="preserve">Workflow</t>
  </si>
  <si>
    <t xml:space="preserve">a26</t>
  </si>
  <si>
    <t xml:space="preserve">Scope notification MVP</t>
  </si>
  <si>
    <t xml:space="preserve">A27</t>
  </si>
  <si>
    <t xml:space="preserve">WordPress.org plugin</t>
  </si>
  <si>
    <t xml:space="preserve">36</t>
  </si>
  <si>
    <t xml:space="preserve">Plugin</t>
  </si>
  <si>
    <t xml:space="preserve">Formstack, Jotform, WP E-Signature</t>
  </si>
  <si>
    <t xml:space="preserve">a27</t>
  </si>
  <si>
    <t xml:space="preserve">Scope form to template workflow</t>
  </si>
  <si>
    <t xml:space="preserve">B09</t>
  </si>
  <si>
    <t xml:space="preserve">Original research</t>
  </si>
  <si>
    <t xml:space="preserve">37</t>
  </si>
  <si>
    <t xml:space="preserve">b09</t>
  </si>
  <si>
    <t xml:space="preserve">Pick one narrow question</t>
  </si>
  <si>
    <t xml:space="preserve">Highest link yield per asset</t>
  </si>
  <si>
    <t xml:space="preserve">P01</t>
  </si>
  <si>
    <t xml:space="preserve">Google Workspace Marketplace</t>
  </si>
  <si>
    <t xml:space="preserve">Parallel</t>
  </si>
  <si>
    <t xml:space="preserve">DocuSign, PandaDoc, Dropbox Sign, SignNow, Adobe, Formstack</t>
  </si>
  <si>
    <t xml:space="preserve">p01</t>
  </si>
  <si>
    <t xml:space="preserve">Week 1 scoping conversation with engineering</t>
  </si>
  <si>
    <t xml:space="preserve">Highest priority marketplace gap. Target month 3</t>
  </si>
  <si>
    <t xml:space="preserve">P02</t>
  </si>
  <si>
    <t xml:space="preserve">Microsoft AppSource and Teams</t>
  </si>
  <si>
    <t xml:space="preserve">DocuSign, Adobe Acrobat Sign</t>
  </si>
  <si>
    <t xml:space="preserve">p02</t>
  </si>
  <si>
    <t xml:space="preserve">Week 2 scoping</t>
  </si>
  <si>
    <t xml:space="preserve">Closest to Syncfusion existing ecosystem</t>
  </si>
  <si>
    <t xml:space="preserve">X01</t>
  </si>
  <si>
    <t xml:space="preserve">Scribd</t>
  </si>
  <si>
    <t xml:space="preserve">Do not pursue</t>
  </si>
  <si>
    <t xml:space="preserve">Near zero value. Duplicate asset risk</t>
  </si>
  <si>
    <t xml:space="preserve">X02</t>
  </si>
  <si>
    <t xml:space="preserve">Issuu</t>
  </si>
  <si>
    <t xml:space="preserve">X03</t>
  </si>
  <si>
    <t xml:space="preserve">AppSumo</t>
  </si>
  <si>
    <t xml:space="preserve">Lifetime deal contradicts unlimited envelope pricing position</t>
  </si>
  <si>
    <t xml:space="preserve">Baseline metrics and success criteria</t>
  </si>
  <si>
    <t xml:space="preserve">Fill the yellow baseline column before week 1, then re-measure at day 30, 60, 90.</t>
  </si>
  <si>
    <t xml:space="preserve">Metric</t>
  </si>
  <si>
    <t xml:space="preserve">Baseline</t>
  </si>
  <si>
    <t xml:space="preserve">Day 30</t>
  </si>
  <si>
    <t xml:space="preserve">Day 60</t>
  </si>
  <si>
    <t xml:space="preserve">Day 90</t>
  </si>
  <si>
    <t xml:space="preserve">Source</t>
  </si>
  <si>
    <t xml:space="preserve">EXAMPLE ROW, delete: Referring domains (root)</t>
  </si>
  <si>
    <t xml:space="preserve">412</t>
  </si>
  <si>
    <t xml:space="preserve">428</t>
  </si>
  <si>
    <t xml:space="preserve">445</t>
  </si>
  <si>
    <t xml:space="preserve">470</t>
  </si>
  <si>
    <t xml:space="preserve">Semrush</t>
  </si>
  <si>
    <t xml:space="preserve">Referring domains (root)</t>
  </si>
  <si>
    <t xml:space="preserve">Semrush / Ahrefs</t>
  </si>
  <si>
    <t xml:space="preserve">Do-follow referring domains</t>
  </si>
  <si>
    <t xml:space="preserve">Authority Score</t>
  </si>
  <si>
    <t xml:space="preserve">Referring domains gained, trailing 90d</t>
  </si>
  <si>
    <t xml:space="preserve">Referring domains lost, trailing 90d</t>
  </si>
  <si>
    <t xml:space="preserve">Branded impressions, trailing 28d</t>
  </si>
  <si>
    <t xml:space="preserve">GSC</t>
  </si>
  <si>
    <t xml:space="preserve">Referral sessions from listing surfaces</t>
  </si>
  <si>
    <t xml:space="preserve">GA4</t>
  </si>
  <si>
    <t xml:space="preserve">G2 review count</t>
  </si>
  <si>
    <t xml:space="preserve">G2 dashboard</t>
  </si>
  <si>
    <t xml:space="preserve">Capterra review count</t>
  </si>
  <si>
    <t xml:space="preserve">Capterra dashboard</t>
  </si>
  <si>
    <t xml:space="preserve">Live directory and marketplace profiles</t>
  </si>
  <si>
    <t xml:space="preserve">This tracker</t>
  </si>
  <si>
    <t xml:space="preserve">Unlinked brand mentions outstanding</t>
  </si>
  <si>
    <t xml:space="preserve">Semrush / Google alerts</t>
  </si>
  <si>
    <t xml:space="preserve">Success criteria at day 90</t>
  </si>
  <si>
    <t xml:space="preserve">1. Workstream A: 25 or more live profiles, all facts accurate, all logged in the tracker.</t>
  </si>
  <si>
    <t xml:space="preserve">2. Workstream B: 15 or more new do-follow referring domains from editorial or partner sources.</t>
  </si>
  <si>
    <t xml:space="preserve">3. Review surfaces: G2 plus 15 net new reviews, Capterra plus 10 net new reviews.</t>
  </si>
  <si>
    <t xml:space="preserve">4. Zero inaccurate pricing or compliance claims on any live profile.</t>
  </si>
  <si>
    <t xml:space="preserve">5. Syncfusion cross-link path restored and verified in GSC.</t>
  </si>
  <si>
    <t xml:space="preserve">Competitor referring domain gap</t>
  </si>
  <si>
    <t xml:space="preserve">Fill after Semrush API units are restored. This decides Workstream B priority order.</t>
  </si>
  <si>
    <t xml:space="preserve">Domain</t>
  </si>
  <si>
    <t xml:space="preserve">Referring domains</t>
  </si>
  <si>
    <t xml:space="preserve">Gap vs BoldSign</t>
  </si>
  <si>
    <t xml:space="preserve">boldsign.com</t>
  </si>
  <si>
    <t xml:space="preserve">baseline</t>
  </si>
  <si>
    <t xml:space="preserve">docusign.com</t>
  </si>
  <si>
    <t xml:space="preserve">pandadoc.com</t>
  </si>
  <si>
    <t xml:space="preserve">signnow.com</t>
  </si>
  <si>
    <t xml:space="preserve">signwell.com</t>
  </si>
  <si>
    <t xml:space="preserve">dropbox.com/sign</t>
  </si>
  <si>
    <t xml:space="preserve">zoho.com/sign</t>
  </si>
  <si>
    <t xml:space="preserve">Note: Semrush returned no data during preparation because this account is out of API units. Ask the account owner to allocate more before running the gap analysis.</t>
  </si>
  <si>
    <t xml:space="preserve">Claims control: version the pasted facts</t>
  </si>
  <si>
    <t xml:space="preserve">When one number changes, every profile carrying it goes stale. Own the change here.</t>
  </si>
  <si>
    <t xml:space="preserve">Claim</t>
  </si>
  <si>
    <t xml:space="preserve">Current value</t>
  </si>
  <si>
    <t xml:space="preserve">Verified on</t>
  </si>
  <si>
    <t xml:space="preserve">Next review</t>
  </si>
  <si>
    <t xml:space="preserve">Used on (profiles)</t>
  </si>
  <si>
    <t xml:space="preserve">Business plan price</t>
  </si>
  <si>
    <t xml:space="preserve">from $15/user/month</t>
  </si>
  <si>
    <t xml:space="preserve">Free plan allowance</t>
  </si>
  <si>
    <t xml:space="preserve">25 envelopes/month</t>
  </si>
  <si>
    <t xml:space="preserve">Unlimited envelopes claim</t>
  </si>
  <si>
    <t xml:space="preserve">Business plan and above</t>
  </si>
  <si>
    <t xml:space="preserve">Customer count</t>
  </si>
  <si>
    <t xml:space="preserve">50,000+ businesses</t>
  </si>
  <si>
    <t xml:space="preserve">Country count</t>
  </si>
  <si>
    <t xml:space="preserve">120+ countries</t>
  </si>
  <si>
    <t xml:space="preserve">G2 rating and volume</t>
  </si>
  <si>
    <t xml:space="preserve">4.7 from 278 reviews</t>
  </si>
  <si>
    <t xml:space="preserve">G2 badges</t>
  </si>
  <si>
    <t xml:space="preserve">Six Leader badges, 2026</t>
  </si>
  <si>
    <t xml:space="preserve">Compliance set</t>
  </si>
  <si>
    <t xml:space="preserve">SOC 2 Type II, HIPAA, GDPR, PCI DSS, eIDAS, ESIGN, UETA</t>
  </si>
  <si>
    <t xml:space="preserve">Data residency</t>
  </si>
  <si>
    <t xml:space="preserve">US, EU, CA, AU</t>
  </si>
  <si>
    <t xml:space="preserve">Rules</t>
  </si>
  <si>
    <t xml:space="preserve">1. Never paste a review count or star rating into a static third-party description.</t>
  </si>
  <si>
    <t xml:space="preserve">2. Never state a competitor price on a profile you control.</t>
  </si>
  <si>
    <t xml:space="preserve">3. Trusted-by and country counts must trace to a legal-approved source.</t>
  </si>
  <si>
    <t xml:space="preserve">4. When any row changes, the owner sweeps every profile in Used on within 14 days.</t>
  </si>
  <si>
    <t xml:space="preserve">5. Prefer from $15/user/month over $15/user/month so the claim survives plan changes.</t>
  </si>
  <si>
    <t xml:space="preserve">Bio library: six angles, no overlap</t>
  </si>
  <si>
    <t xml:space="preserve">Copy exact. Never run the same angle on two competing surfaces in one category.</t>
  </si>
  <si>
    <t xml:space="preserve">Angle and where to use</t>
  </si>
  <si>
    <t xml:space="preserve">Long form, paste exact</t>
  </si>
  <si>
    <t xml:space="preserve">Short form, 160 characters or under</t>
  </si>
  <si>
    <t xml:space="preserve">Angle 1 Cost and volume
Use on AlternativeTo, SaaSHub, Slashdot, deal and comparison surfaces</t>
  </si>
  <si>
    <t xml:space="preserve">Most eSignature tools charge per envelope, so costs climb the moment a team starts sending real volume. BoldSign removes that ceiling: the Business plan includes unlimited envelopes from $15 per user per month, and a free plan covers low-volume teams. Built by Syncfusion, it handles sending, signing, tracking, templates, and audit trails without volume penalties.</t>
  </si>
  <si>
    <t xml:space="preserve">eSignature software with unlimited envelopes from $15 per user per month, plus a free plan. Built by Syncfusion.</t>
  </si>
  <si>
    <t xml:space="preserve">Angle 2 Compliance and security
Use on TrustRadius, Gartner Peer Insights, enterprise and legal surfaces</t>
  </si>
  <si>
    <t xml:space="preserve">BoldSign is an electronic signature platform built for teams that have to defend a signed document later. Every envelope carries a tamper-evident audit trail, signer authentication options, and AES-256 encryption at rest. The platform supports SOC 2 Type II, HIPAA, GDPR, PCI DSS, ESIGN, UETA, and eIDAS requirements, with data residency in the US, EU, Canada, and Australia.</t>
  </si>
  <si>
    <t xml:space="preserve">Secure eSignatures with tamper-evident audit trails, signer authentication, and SOC 2 Type II, HIPAA, GDPR, and eIDAS support.</t>
  </si>
  <si>
    <t xml:space="preserve">Angle 3 Developer and API
Use on GitHub, Postman, package registries, RapidAPI, developer directories</t>
  </si>
  <si>
    <t xml:space="preserve">BoldSign gives developers a REST API, official SDKs, webhooks, and embedded signing so signature workflows live inside the product rather than beside it. Create documents from templates, drop signing into your own UI, and react to signing events in real time. A free sandbox is available for integration work before you commit to a plan.</t>
  </si>
  <si>
    <t xml:space="preserve">eSignature APIs, SDKs, webhooks, and embedded signing with a free developer sandbox.</t>
  </si>
  <si>
    <t xml:space="preserve">Angle 4 CRM and operations workflow
Use on HubSpot, Salesforce, Zapier, Make, n8n, Pabbly, Workspace, AppSource, Slack</t>
  </si>
  <si>
    <t xml:space="preserve">BoldSign connects signature requests to the systems your team already works in. Trigger a document from a closed-won deal, a submitted form, or an approved quote, then push status back so nobody chases a signature manually. Sales, HR, and operations teams use it for contracts, offer letters, NDAs, and onboarding paperwork.</t>
  </si>
  <si>
    <t xml:space="preserve">Send, track, and manage signature requests from your CRM, forms, and automation tools.</t>
  </si>
  <si>
    <t xml:space="preserve">Angle 5 SMB and ease of use
Use on Capterra, GetApp, Software Advice, SourceForge, Trustpilot, Product Hunt</t>
  </si>
  <si>
    <t xml:space="preserve">Small teams do not need an enterprise rollout to start signing documents. BoldSign lets you upload a document, place fields, and send it for signature in minutes, then reuse it as a template. A free plan covers occasional signing, and paid plans lift the volume cap without per-envelope charges.</t>
  </si>
  <si>
    <t xml:space="preserve">Upload, place fields, send. Reusable templates and a free plan for low-volume signing.</t>
  </si>
  <si>
    <t xml:space="preserve">Angle 6 AI and agents
Use on MCP registries, Futurepedia, Toolify, TAAFT, AI directories</t>
  </si>
  <si>
    <t xml:space="preserve">BoldSign exposes its signature workflows through an MCP server, so AI assistants and agent frameworks can send documents, check signing status, and manage templates as tool calls. Teams building agentic workflows can put a legally binding signature step inside an automated process rather than breaking out to a human handoff.</t>
  </si>
  <si>
    <t xml:space="preserve">An MCP server that lets AI assistants send, track, and manage legally binding signature requests.</t>
  </si>
  <si>
    <t xml:space="preserve">Revised priority order</t>
  </si>
  <si>
    <t xml:space="preserve">Workstream A is coverage. Workstream B is authority. Run both in parallel.</t>
  </si>
  <si>
    <t xml:space="preserve">Order</t>
  </si>
  <si>
    <t xml:space="preserve">Action</t>
  </si>
  <si>
    <t xml:space="preserve">Speed</t>
  </si>
  <si>
    <t xml:space="preserve">Real value</t>
  </si>
  <si>
    <t xml:space="preserve">Syncfusion disavow fix and cross-links</t>
  </si>
  <si>
    <t xml:space="preserve">Same day</t>
  </si>
  <si>
    <t xml:space="preserve">Recovers existing authority</t>
  </si>
  <si>
    <t xml:space="preserve">B1 referring domain gap analysis</t>
  </si>
  <si>
    <t xml:space="preserve">Determines all outreach</t>
  </si>
  <si>
    <t xml:space="preserve">B2 unlinked mention reclamation</t>
  </si>
  <si>
    <t xml:space="preserve">Ongoing</t>
  </si>
  <si>
    <t xml:space="preserve">Do-follow, fastest wins</t>
  </si>
  <si>
    <t xml:space="preserve">Alternative discovery</t>
  </si>
  <si>
    <t xml:space="preserve">Review trust, comparison visibility</t>
  </si>
  <si>
    <t xml:space="preserve">Capterra, GetApp, Software Advice</t>
  </si>
  <si>
    <t xml:space="preserve">1 day</t>
  </si>
  <si>
    <t xml:space="preserve">High-intent buyer referral</t>
  </si>
  <si>
    <t xml:space="preserve">Package registry cleanup, action 29</t>
  </si>
  <si>
    <t xml:space="preserve">2 hours</t>
  </si>
  <si>
    <t xml:space="preserve">Developer discovery</t>
  </si>
  <si>
    <t xml:space="preserve">Developer, LLM visibility</t>
  </si>
  <si>
    <t xml:space="preserve">B5 free tool roundup outreach</t>
  </si>
  <si>
    <t xml:space="preserve">1 week</t>
  </si>
  <si>
    <t xml:space="preserve">Do-follow</t>
  </si>
  <si>
    <t xml:space="preserve">Directory backlink</t>
  </si>
  <si>
    <t xml:space="preserve">Alternative pages</t>
  </si>
  <si>
    <t xml:space="preserve">Entity citation</t>
  </si>
  <si>
    <t xml:space="preserve">Entity, brand SERP</t>
  </si>
  <si>
    <t xml:space="preserve">B6 broken link building</t>
  </si>
  <si>
    <t xml:space="preserve">B7 journalist response programme</t>
  </si>
  <si>
    <t xml:space="preserve">Editorial do-follow</t>
  </si>
  <si>
    <t xml:space="preserve">MCP registries, expanded, action 31</t>
  </si>
  <si>
    <t xml:space="preserve">3 hours</t>
  </si>
  <si>
    <t xml:space="preserve">AI ecosystem</t>
  </si>
  <si>
    <t xml:space="preserve">1 to 2 days</t>
  </si>
  <si>
    <t xml:space="preserve">Mid-market trust</t>
  </si>
  <si>
    <t xml:space="preserve">Pabbly cross-link</t>
  </si>
  <si>
    <t xml:space="preserve">Integration citation</t>
  </si>
  <si>
    <t xml:space="preserve">B10 partner co-marketing links</t>
  </si>
  <si>
    <t xml:space="preserve">Contextual do-follow</t>
  </si>
  <si>
    <t xml:space="preserve">Half day</t>
  </si>
  <si>
    <t xml:space="preserve">API discovery</t>
  </si>
  <si>
    <t xml:space="preserve">Marketplace referral</t>
  </si>
  <si>
    <t xml:space="preserve">HubSpot listing optimisation</t>
  </si>
  <si>
    <t xml:space="preserve">CRM marketplace</t>
  </si>
  <si>
    <t xml:space="preserve">Salesforce AppExchange optimisation</t>
  </si>
  <si>
    <t xml:space="preserve">Enterprise marketplace</t>
  </si>
  <si>
    <t xml:space="preserve">AI discovery</t>
  </si>
  <si>
    <t xml:space="preserve">Second-tier directories, action 33</t>
  </si>
  <si>
    <t xml:space="preserve">Long-tail comparison</t>
  </si>
  <si>
    <t xml:space="preserve">B3 legality reference build</t>
  </si>
  <si>
    <t xml:space="preserve">2 to 3 weeks</t>
  </si>
  <si>
    <t xml:space="preserve">Compounding editorial</t>
  </si>
  <si>
    <t xml:space="preserve">B4 statistics page</t>
  </si>
  <si>
    <t xml:space="preserve">1 to 2 weeks</t>
  </si>
  <si>
    <t xml:space="preserve">B11 developer content</t>
  </si>
  <si>
    <t xml:space="preserve">Developer domains</t>
  </si>
  <si>
    <t xml:space="preserve">Wikidata, via Syncfusion item first</t>
  </si>
  <si>
    <t xml:space="preserve">Several days</t>
  </si>
  <si>
    <t xml:space="preserve">Knowledge Graph</t>
  </si>
  <si>
    <t xml:space="preserve">SlideShare, once only</t>
  </si>
  <si>
    <t xml:space="preserve">Days to weeks</t>
  </si>
  <si>
    <t xml:space="preserve">Automation marketplace</t>
  </si>
  <si>
    <t xml:space="preserve">Developer, no-code</t>
  </si>
  <si>
    <t xml:space="preserve">B8 guest contributions</t>
  </si>
  <si>
    <t xml:space="preserve">Per placement</t>
  </si>
  <si>
    <t xml:space="preserve">Product Hunt launch, action 32</t>
  </si>
  <si>
    <t xml:space="preserve">2 weeks prep</t>
  </si>
  <si>
    <t xml:space="preserve">Referral spike, reviews</t>
  </si>
  <si>
    <t xml:space="preserve">Weeks</t>
  </si>
  <si>
    <t xml:space="preserve">Workflow marketplace</t>
  </si>
  <si>
    <t xml:space="preserve">2 to 4 weeks</t>
  </si>
  <si>
    <t xml:space="preserve">Plugin directory authority</t>
  </si>
  <si>
    <t xml:space="preserve">B9 original research</t>
  </si>
  <si>
    <t xml:space="preserve">6 to 10 weeks</t>
  </si>
  <si>
    <t xml:space="preserve">Highest link yield</t>
  </si>
  <si>
    <t xml:space="preserve">Parallel track, own milestone dates, not in the sequence above</t>
  </si>
  <si>
    <t xml:space="preserve">Track</t>
  </si>
  <si>
    <t xml:space="preserve">Start</t>
  </si>
  <si>
    <t xml:space="preserve">Target live</t>
  </si>
  <si>
    <t xml:space="preserve">P1</t>
  </si>
  <si>
    <t xml:space="preserve">Week 1 scoping</t>
  </si>
  <si>
    <t xml:space="preserve">Month 3</t>
  </si>
  <si>
    <t xml:space="preserve">P2</t>
  </si>
  <si>
    <t xml:space="preserve">Month 3 to 4</t>
  </si>
  <si>
    <t xml:space="preserve">Dropped: Scribd, Issuu, AppSumo. See the patch document demote list for reasoning.</t>
  </si>
  <si>
    <t xml:space="preserve">Execution schedule and capacity</t>
  </si>
  <si>
    <t xml:space="preserve">Honest total is 70 to 90 hours plus ongoing outreach. At 8 hours a week this is a 5 to 6 month plan.</t>
  </si>
  <si>
    <t xml:space="preserve">Week</t>
  </si>
  <si>
    <t xml:space="preserve">Focus</t>
  </si>
  <si>
    <t xml:space="preserve">Actions</t>
  </si>
  <si>
    <t xml:space="preserve">Hours</t>
  </si>
  <si>
    <t xml:space="preserve">Foundation and fastest wins</t>
  </si>
  <si>
    <t xml:space="preserve">Action 0, B1, baseline capture, AlternativeTo, package registries</t>
  </si>
  <si>
    <t xml:space="preserve">Parallel kickoff</t>
  </si>
  <si>
    <t xml:space="preserve">P1 Workspace scoping conversation</t>
  </si>
  <si>
    <t xml:space="preserve">Review surfaces</t>
  </si>
  <si>
    <t xml:space="preserve">G2 optimisation, Capterra, GetApp, Software Advice, review campaign launch</t>
  </si>
  <si>
    <t xml:space="preserve">Directories and entity</t>
  </si>
  <si>
    <t xml:space="preserve">SourceForge, Slashdot, SaaSHub, Crunchbase, LinkedIn</t>
  </si>
  <si>
    <t xml:space="preserve">Developer and AI</t>
  </si>
  <si>
    <t xml:space="preserve">GitHub, MCP registries, Postman, AI directories</t>
  </si>
  <si>
    <t xml:space="preserve">Outreach engine on</t>
  </si>
  <si>
    <t xml:space="preserve">B2 mention reclamation, B5 free tool roundups, B7 alerts live</t>
  </si>
  <si>
    <t xml:space="preserve">Integration marketplaces</t>
  </si>
  <si>
    <t xml:space="preserve">Pabbly, Zapier templates, HubSpot, Salesforce</t>
  </si>
  <si>
    <t xml:space="preserve">Earned links</t>
  </si>
  <si>
    <t xml:space="preserve">B6 broken link building, B10 partner links</t>
  </si>
  <si>
    <t xml:space="preserve">Content assets begin</t>
  </si>
  <si>
    <t xml:space="preserve">B3 legality reference scope and first tranche</t>
  </si>
  <si>
    <t xml:space="preserve">9 to 12</t>
  </si>
  <si>
    <t xml:space="preserve">Content assets and long tail</t>
  </si>
  <si>
    <t xml:space="preserve">B3 completion, B4 statistics page, second-tier directories, TrustRadius</t>
  </si>
  <si>
    <t xml:space="preserve">Month 4+</t>
  </si>
  <si>
    <t xml:space="preserve">Builds and research</t>
  </si>
  <si>
    <t xml:space="preserve">Slack, WordPress, Make, n8n, B8, B9, Product Hunt</t>
  </si>
  <si>
    <t xml:space="preserve">ongoing</t>
  </si>
  <si>
    <t xml:space="preserve">Ongoing weekly commitments, separate from the table above</t>
  </si>
  <si>
    <t xml:space="preserve">Commitment</t>
  </si>
  <si>
    <t xml:space="preserve">Time</t>
  </si>
  <si>
    <t xml:space="preserve">B2 mention sweep</t>
  </si>
  <si>
    <t xml:space="preserve">1 hour weekly</t>
  </si>
  <si>
    <t xml:space="preserve">B7 journalist responses</t>
  </si>
  <si>
    <t xml:space="preserve">3 hours weekly</t>
  </si>
  <si>
    <t xml:space="preserve">Review campaign follow-up</t>
  </si>
  <si>
    <t xml:space="preserve">Reddit calendar, existing programme</t>
  </si>
  <si>
    <t xml:space="preserve">per existing calendar</t>
  </si>
  <si>
    <t xml:space="preserve">Tracker hygiene</t>
  </si>
  <si>
    <t xml:space="preserve">30 minutes weekly</t>
  </si>
  <si>
    <t xml:space="preserve">Total maintenance</t>
  </si>
  <si>
    <t xml:space="preserve">5.5 hours weekly, budget before adding new actions</t>
  </si>
  <si>
    <t xml:space="preserve">Review gates</t>
  </si>
  <si>
    <t xml:space="preserve">Gate</t>
  </si>
  <si>
    <t xml:space="preserve">When</t>
  </si>
  <si>
    <t xml:space="preserve">Criteria</t>
  </si>
  <si>
    <t xml:space="preserve">G1</t>
  </si>
  <si>
    <t xml:space="preserve">End of week 1</t>
  </si>
  <si>
    <t xml:space="preserve">Baseline captured, Action 0 complete, B1 list of 100 exported</t>
  </si>
  <si>
    <t xml:space="preserve">G2</t>
  </si>
  <si>
    <t xml:space="preserve">End of week 4</t>
  </si>
  <si>
    <t xml:space="preserve">12 or more profiles live, all claims verified, zero inaccurate pricing</t>
  </si>
  <si>
    <t xml:space="preserve">G3</t>
  </si>
  <si>
    <t xml:space="preserve">End of week 8</t>
  </si>
  <si>
    <t xml:space="preserve">5 or more new do-follow referring domains from Workstream B</t>
  </si>
  <si>
    <t xml:space="preserve">G4</t>
  </si>
  <si>
    <t xml:space="preserve">Full success criteria from the Baseline tab</t>
  </si>
  <si>
    <t xml:space="preserve">Escalate to Meikandan at any gate that misses by more than 25 percent.</t>
  </si>
  <si>
    <t xml:space="preserve">UTM convention</t>
  </si>
  <si>
    <t xml:space="preserve">Lowercase, hyphens only, no spaces. Build the GA4 filter before week 1.</t>
  </si>
  <si>
    <t xml:space="preserve">Pattern: ?utm_source=[platform-slug]&amp;utm_medium=[medium]&amp;utm_campaign=link-authority-2026&amp;utm_content=[action-id]</t>
  </si>
  <si>
    <t xml:space="preserve">Use for</t>
  </si>
  <si>
    <t xml:space="preserve">listing</t>
  </si>
  <si>
    <t xml:space="preserve">Directories and software listings</t>
  </si>
  <si>
    <t xml:space="preserve">review</t>
  </si>
  <si>
    <t xml:space="preserve">G2, Capterra, GetApp, Software Advice, TrustRadius, Trustpilot</t>
  </si>
  <si>
    <t xml:space="preserve">marketplace</t>
  </si>
  <si>
    <t xml:space="preserve">HubSpot, Salesforce, Workspace, AppSource, Slack, Zapier, Make, n8n, Pabbly</t>
  </si>
  <si>
    <t xml:space="preserve">developer</t>
  </si>
  <si>
    <t xml:space="preserve">GitHub, Postman, package registries, MCP registries</t>
  </si>
  <si>
    <t xml:space="preserve">community</t>
  </si>
  <si>
    <t xml:space="preserve">Reddit, forums, Stack Overflow, community replies</t>
  </si>
  <si>
    <t xml:space="preserve">earned</t>
  </si>
  <si>
    <t xml:space="preserve">Workstream B editorial placements</t>
  </si>
  <si>
    <t xml:space="preserve">Examples</t>
  </si>
  <si>
    <t xml:space="preserve">https://www.boldsign.com/?utm_source=alternativeto&amp;utm_medium=listing&amp;utm_campaign=link-authority-2026&amp;utm_content=a01</t>
  </si>
  <si>
    <t xml:space="preserve">https://developers.boldsign.com/?utm_source=nuget&amp;utm_medium=developer&amp;utm_campaign=link-authority-2026&amp;utm_content=a29</t>
  </si>
  <si>
    <t xml:space="preserve">https://www.boldsign.com/free-tools/merge-pdf/?utm_source=[publisher]&amp;utm_medium=earned&amp;utm_campaign=link-authority-2026&amp;utm_content=b05</t>
  </si>
  <si>
    <t xml:space="preserve">1. Never put a UTM on a link you want to pass equity. Use UTMs on nofollow referral surfaces only.</t>
  </si>
  <si>
    <t xml:space="preserve">2. Never UTM a link inside a Wikidata or Wikipedia reference.</t>
  </si>
  <si>
    <t xml:space="preserve">3. Build a GA4 exploration filtered to utm_campaign=link-authority-2026 before week 1.</t>
  </si>
  <si>
    <t xml:space="preserve">Do not do: non-negotiable</t>
  </si>
  <si>
    <t xml:space="preserve">Anything here creates risk that outweighs any link gained.</t>
  </si>
  <si>
    <t xml:space="preserve">Prohibition</t>
  </si>
  <si>
    <t xml:space="preserve">No paid links, sponsored do-follow placements, or guest post for a fee arrangements. If a site quotes a price for a link, walk away or require rel=sponsored.</t>
  </si>
  <si>
    <t xml:space="preserve">No link marketplaces, PBNs, or link packages from freelance marketplaces.</t>
  </si>
  <si>
    <t xml:space="preserve">No fake reviews, incentivised reviews outside the platform official programme, employee reviews posing as customers, or competitor review manipulation.</t>
  </si>
  <si>
    <t xml:space="preserve">No fake AlternativeTo likes, no vote manipulation, no sockpuppet accounts on any surface.</t>
  </si>
  <si>
    <t xml:space="preserve">No sitewide footer or nav cross-link between syncfusion.com and boldsign.com. Contextual in-content links only.</t>
  </si>
  <si>
    <t xml:space="preserve">No spun or near-duplicate descriptions across directories. Use the six angles in the Bio Library.</t>
  </si>
  <si>
    <t xml:space="preserve">No exact-match commercial anchor above 3 percent of the acquired profile.</t>
  </si>
  <si>
    <t xml:space="preserve">No undisclosed vendor participation in any community thread. Disclose in the first sentence, every time.</t>
  </si>
  <si>
    <t xml:space="preserve">No stating competitor pricing on any third-party profile you control.</t>
  </si>
  <si>
    <t xml:space="preserve">No compliance claim that is not currently certified and evidenced. SOC 2, HIPAA, and eIDAS claims carry legal exposure.</t>
  </si>
  <si>
    <t xml:space="preserve">No creating a second BoldSign profile on a platform where one already exists. Claim or merge, never duplicate.</t>
  </si>
  <si>
    <t xml:space="preserve">No mass directory submission tools or automated blast services.</t>
  </si>
  <si>
    <t xml:space="preserve">No recreating a deleted Wikidata or Wikipedia item.</t>
  </si>
  <si>
    <t xml:space="preserve">No lifetime deal or perpetual licence offer on any deal platform.</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</si>
</sst>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283A5E"/>
      <name val="Arial"/>
      <family val="0"/>
      <charset val="1"/>
    </font>
    <font>
      <sz val="10"/>
      <color rgb="FF1A1A1A"/>
      <name val="Arial"/>
      <family val="0"/>
      <charset val="1"/>
    </font>
    <font>
      <b val="true"/>
      <sz val="10"/>
      <color rgb="FFFFFFFF"/>
      <name val="Arial"/>
      <family val="0"/>
      <charset val="1"/>
    </font>
    <font>
      <b val="true"/>
      <sz val="10"/>
      <color rgb="FF1A1A1A"/>
      <name val="Arial"/>
      <family val="0"/>
      <charset val="1"/>
    </font>
    <font>
      <b val="true"/>
      <sz val="10"/>
      <color rgb="FFFF4800"/>
      <name val="Arial"/>
      <family val="0"/>
      <charset val="1"/>
    </font>
    <font>
      <b val="true"/>
      <sz val="10"/>
      <color rgb="FFD2440C"/>
      <name val="Arial"/>
      <family val="0"/>
      <charset val="1"/>
    </font>
    <font>
      <b val="true"/>
      <sz val="10"/>
      <color rgb="FF8A7A6C"/>
      <name val="Arial"/>
      <family val="0"/>
      <charset val="1"/>
    </font>
    <font>
      <b val="true"/>
      <sz val="10"/>
      <color rgb="FF283A5E"/>
      <name val="Arial"/>
      <family val="0"/>
      <charset val="1"/>
    </font>
    <font>
      <b val="true"/>
      <sz val="10"/>
      <color rgb="FF0A3A99"/>
      <name val="Courier New"/>
      <family val="0"/>
      <charset val="1"/>
    </font>
    <font>
      <b val="true"/>
      <sz val="10"/>
      <color rgb="FF1A1A1A"/>
      <name val="Courier New"/>
      <family val="0"/>
      <charset val="1"/>
    </font>
    <font>
      <sz val="9"/>
      <color rgb="FF1A1A1A"/>
      <name val="Courier New"/>
      <family val="0"/>
      <charset val="1"/>
    </font>
  </fonts>
  <fills count="9">
    <fill>
      <patternFill patternType="none"/>
    </fill>
    <fill>
      <patternFill patternType="gray125"/>
    </fill>
    <fill>
      <patternFill patternType="solid">
        <fgColor rgb="FFFF4800"/>
        <bgColor rgb="FFD2440C"/>
      </patternFill>
    </fill>
    <fill>
      <patternFill patternType="solid">
        <fgColor rgb="FF283A5E"/>
        <bgColor rgb="FF333399"/>
      </patternFill>
    </fill>
    <fill>
      <patternFill patternType="solid">
        <fgColor rgb="FFFFEA9D"/>
        <bgColor rgb="FFFCEBDF"/>
      </patternFill>
    </fill>
    <fill>
      <patternFill patternType="solid">
        <fgColor rgb="FFD2440C"/>
        <bgColor rgb="FFFF4800"/>
      </patternFill>
    </fill>
    <fill>
      <patternFill patternType="solid">
        <fgColor rgb="FFFCEBDF"/>
        <bgColor rgb="FFE8E0DA"/>
      </patternFill>
    </fill>
    <fill>
      <patternFill patternType="solid">
        <fgColor rgb="FFE8E0DA"/>
        <bgColor rgb="FFFCEBDF"/>
      </patternFill>
    </fill>
    <fill>
      <patternFill patternType="solid">
        <fgColor rgb="FF0A3A99"/>
        <bgColor rgb="FF333399"/>
      </patternFill>
    </fill>
  </fills>
  <borders count="2">
    <border diagonalUp="false" diagonalDown="false">
      <left/>
      <right/>
      <top/>
      <bottom/>
      <diagonal/>
    </border>
    <border diagonalUp="false" diagonalDown="false">
      <left style="thin">
        <color rgb="FFD9C9BC"/>
      </left>
      <right style="thin">
        <color rgb="FFD9C9BC"/>
      </right>
      <top style="thin">
        <color rgb="FFD9C9BC"/>
      </top>
      <bottom style="thin">
        <color rgb="FFD9C9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1"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16"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BC"/>
      <rgbColor rgb="FF8A7A6C"/>
      <rgbColor rgb="FF9999FF"/>
      <rgbColor rgb="FF993366"/>
      <rgbColor rgb="FFFCEBDF"/>
      <rgbColor rgb="FFCCFFFF"/>
      <rgbColor rgb="FF660066"/>
      <rgbColor rgb="FFFF8080"/>
      <rgbColor rgb="FF0066CC"/>
      <rgbColor rgb="FFE8E0DA"/>
      <rgbColor rgb="FF000080"/>
      <rgbColor rgb="FFFF00FF"/>
      <rgbColor rgb="FFFFFF00"/>
      <rgbColor rgb="FF00FFFF"/>
      <rgbColor rgb="FF800080"/>
      <rgbColor rgb="FF800000"/>
      <rgbColor rgb="FF008080"/>
      <rgbColor rgb="FF0000FF"/>
      <rgbColor rgb="FF00CCFF"/>
      <rgbColor rgb="FFCCFFFF"/>
      <rgbColor rgb="FFCCFFCC"/>
      <rgbColor rgb="FFFFEA9D"/>
      <rgbColor rgb="FF99CCFF"/>
      <rgbColor rgb="FFFF99CC"/>
      <rgbColor rgb="FFCC99FF"/>
      <rgbColor rgb="FFFFCC99"/>
      <rgbColor rgb="FF3366FF"/>
      <rgbColor rgb="FF33CCCC"/>
      <rgbColor rgb="FF99CC00"/>
      <rgbColor rgb="FFFFCC00"/>
      <rgbColor rgb="FFFF9900"/>
      <rgbColor rgb="FFFF4800"/>
      <rgbColor rgb="FF666699"/>
      <rgbColor rgb="FF969696"/>
      <rgbColor rgb="FF0A3A99"/>
      <rgbColor rgb="FF339966"/>
      <rgbColor rgb="FF003300"/>
      <rgbColor rgb="FF1A1A1A"/>
      <rgbColor rgb="FFD2440C"/>
      <rgbColor rgb="FF993366"/>
      <rgbColor rgb="FF333399"/>
      <rgbColor rgb="FF283A5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4800"/>
    <pageSetUpPr fitToPage="false"/>
  </sheetPr>
  <dimension ref="A1:D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4" min="3" style="0" width="30"/>
  </cols>
  <sheetData>
    <row r="1" customFormat="false" ht="30" hidden="false" customHeight="true" outlineLevel="0" collapsed="false">
      <c r="A1" s="1" t="s">
        <v>0</v>
      </c>
      <c r="B1" s="1"/>
      <c r="C1" s="1"/>
      <c r="D1" s="1"/>
    </row>
    <row r="2" customFormat="false" ht="18" hidden="false" customHeight="true" outlineLevel="0" collapsed="false">
      <c r="A2" s="2" t="s">
        <v>1</v>
      </c>
      <c r="B2" s="2"/>
      <c r="C2" s="2"/>
      <c r="D2" s="2"/>
    </row>
    <row r="3" customFormat="false" ht="15" hidden="false" customHeight="false" outlineLevel="0" collapsed="false">
      <c r="A3" s="3" t="s">
        <v>2</v>
      </c>
    </row>
    <row r="4" customFormat="false" ht="27.75" hidden="false" customHeight="true" outlineLevel="0" collapsed="false">
      <c r="A4" s="4" t="s">
        <v>3</v>
      </c>
      <c r="B4" s="4"/>
      <c r="C4" s="4"/>
      <c r="D4" s="4"/>
    </row>
    <row r="5" customFormat="false" ht="27.75" hidden="false" customHeight="true" outlineLevel="0" collapsed="false">
      <c r="A5" s="4" t="s">
        <v>4</v>
      </c>
      <c r="B5" s="4"/>
      <c r="C5" s="4"/>
      <c r="D5" s="4"/>
    </row>
    <row r="6" customFormat="false" ht="27.75" hidden="false" customHeight="true" outlineLevel="0" collapsed="false">
      <c r="A6" s="4" t="s">
        <v>5</v>
      </c>
      <c r="B6" s="4"/>
      <c r="C6" s="4"/>
      <c r="D6" s="4"/>
    </row>
    <row r="7" customFormat="false" ht="27.75" hidden="false" customHeight="true" outlineLevel="0" collapsed="false">
      <c r="A7" s="4" t="s">
        <v>6</v>
      </c>
      <c r="B7" s="4"/>
      <c r="C7" s="4"/>
      <c r="D7" s="4"/>
    </row>
    <row r="8" customFormat="false" ht="27.75" hidden="false" customHeight="true" outlineLevel="0" collapsed="false">
      <c r="A8" s="4" t="s">
        <v>7</v>
      </c>
      <c r="B8" s="4"/>
      <c r="C8" s="4"/>
      <c r="D8" s="4"/>
    </row>
    <row r="10" customFormat="false" ht="15" hidden="false" customHeight="false" outlineLevel="0" collapsed="false">
      <c r="A10" s="3" t="s">
        <v>8</v>
      </c>
    </row>
    <row r="11" customFormat="false" ht="25.5" hidden="false" customHeight="true" outlineLevel="0" collapsed="false">
      <c r="A11" s="5" t="s">
        <v>9</v>
      </c>
      <c r="B11" s="5" t="s">
        <v>10</v>
      </c>
      <c r="C11" s="5" t="s">
        <v>11</v>
      </c>
      <c r="D11" s="5" t="s">
        <v>12</v>
      </c>
    </row>
    <row r="12" customFormat="false" ht="15" hidden="false" customHeight="false" outlineLevel="0" collapsed="false">
      <c r="A12" s="6" t="s">
        <v>13</v>
      </c>
      <c r="B12" s="7" t="n">
        <f aca="false">COUNTIF(Tracker!$F:$F,A12)</f>
        <v>46</v>
      </c>
      <c r="C12" s="7" t="n">
        <f aca="false">COUNTIFS(Tracker!$F:$F,A12,Tracker!$B:$B,"A")</f>
        <v>34</v>
      </c>
      <c r="D12" s="7" t="n">
        <f aca="false">COUNTIFS(Tracker!$F:$F,A12,Tracker!$B:$B,"B")</f>
        <v>12</v>
      </c>
    </row>
    <row r="13" customFormat="false" ht="15" hidden="false" customHeight="false" outlineLevel="0" collapsed="false">
      <c r="A13" s="6" t="s">
        <v>14</v>
      </c>
      <c r="B13" s="7" t="n">
        <f aca="false">COUNTIF(Tracker!$F:$F,A13)</f>
        <v>0</v>
      </c>
      <c r="C13" s="7" t="n">
        <f aca="false">COUNTIFS(Tracker!$F:$F,A13,Tracker!$B:$B,"A")</f>
        <v>0</v>
      </c>
      <c r="D13" s="7" t="n">
        <f aca="false">COUNTIFS(Tracker!$F:$F,A13,Tracker!$B:$B,"B")</f>
        <v>0</v>
      </c>
    </row>
    <row r="14" customFormat="false" ht="15" hidden="false" customHeight="false" outlineLevel="0" collapsed="false">
      <c r="A14" s="6" t="s">
        <v>15</v>
      </c>
      <c r="B14" s="7" t="n">
        <f aca="false">COUNTIF(Tracker!$F:$F,A14)</f>
        <v>0</v>
      </c>
      <c r="C14" s="7" t="n">
        <f aca="false">COUNTIFS(Tracker!$F:$F,A14,Tracker!$B:$B,"A")</f>
        <v>0</v>
      </c>
      <c r="D14" s="7" t="n">
        <f aca="false">COUNTIFS(Tracker!$F:$F,A14,Tracker!$B:$B,"B")</f>
        <v>0</v>
      </c>
    </row>
    <row r="15" customFormat="false" ht="15" hidden="false" customHeight="false" outlineLevel="0" collapsed="false">
      <c r="A15" s="6" t="s">
        <v>16</v>
      </c>
      <c r="B15" s="7" t="n">
        <f aca="false">COUNTIF(Tracker!$F:$F,A15)</f>
        <v>0</v>
      </c>
      <c r="C15" s="7" t="n">
        <f aca="false">COUNTIFS(Tracker!$F:$F,A15,Tracker!$B:$B,"A")</f>
        <v>0</v>
      </c>
      <c r="D15" s="7" t="n">
        <f aca="false">COUNTIFS(Tracker!$F:$F,A15,Tracker!$B:$B,"B")</f>
        <v>0</v>
      </c>
    </row>
    <row r="16" customFormat="false" ht="15" hidden="false" customHeight="false" outlineLevel="0" collapsed="false">
      <c r="A16" s="6" t="s">
        <v>17</v>
      </c>
      <c r="B16" s="7" t="n">
        <f aca="false">COUNTIF(Tracker!$F:$F,A16)</f>
        <v>0</v>
      </c>
      <c r="C16" s="7" t="n">
        <f aca="false">COUNTIFS(Tracker!$F:$F,A16,Tracker!$B:$B,"A")</f>
        <v>0</v>
      </c>
      <c r="D16" s="7" t="n">
        <f aca="false">COUNTIFS(Tracker!$F:$F,A16,Tracker!$B:$B,"B")</f>
        <v>0</v>
      </c>
    </row>
    <row r="17" customFormat="false" ht="15" hidden="false" customHeight="false" outlineLevel="0" collapsed="false">
      <c r="A17" s="6" t="s">
        <v>18</v>
      </c>
      <c r="B17" s="7" t="n">
        <f aca="false">COUNTIF(Tracker!$F:$F,A17)</f>
        <v>3</v>
      </c>
      <c r="C17" s="7" t="n">
        <f aca="false">COUNTIFS(Tracker!$F:$F,A17,Tracker!$B:$B,"A")</f>
        <v>3</v>
      </c>
      <c r="D17" s="7" t="n">
        <f aca="false">COUNTIFS(Tracker!$F:$F,A17,Tracker!$B:$B,"B")</f>
        <v>0</v>
      </c>
    </row>
    <row r="18" customFormat="false" ht="15" hidden="false" customHeight="false" outlineLevel="0" collapsed="false">
      <c r="A18" s="8" t="s">
        <v>19</v>
      </c>
      <c r="B18" s="9" t="n">
        <f aca="false">SUM(B12:B17)</f>
        <v>49</v>
      </c>
      <c r="C18" s="9" t="n">
        <f aca="false">SUM(C12:C17)</f>
        <v>37</v>
      </c>
      <c r="D18" s="9" t="n">
        <f aca="false">SUM(D12:D17)</f>
        <v>12</v>
      </c>
    </row>
    <row r="20" customFormat="false" ht="15" hidden="false" customHeight="false" outlineLevel="0" collapsed="false">
      <c r="A20" s="3" t="s">
        <v>20</v>
      </c>
    </row>
    <row r="21" customFormat="false" ht="25.5" hidden="false" customHeight="true" outlineLevel="0" collapsed="false">
      <c r="A21" s="5" t="s">
        <v>21</v>
      </c>
      <c r="B21" s="5" t="s">
        <v>22</v>
      </c>
      <c r="C21" s="5" t="s">
        <v>23</v>
      </c>
      <c r="D21" s="5"/>
    </row>
    <row r="22" customFormat="false" ht="25.5" hidden="false" customHeight="true" outlineLevel="0" collapsed="false">
      <c r="A22" s="6" t="s">
        <v>24</v>
      </c>
      <c r="B22" s="10" t="s">
        <v>25</v>
      </c>
      <c r="C22" s="10"/>
      <c r="D22" s="11" t="s">
        <v>26</v>
      </c>
    </row>
    <row r="23" customFormat="false" ht="25.5" hidden="false" customHeight="true" outlineLevel="0" collapsed="false">
      <c r="A23" s="6" t="s">
        <v>27</v>
      </c>
      <c r="B23" s="10" t="s">
        <v>28</v>
      </c>
      <c r="C23" s="10"/>
      <c r="D23" s="11" t="s">
        <v>29</v>
      </c>
    </row>
    <row r="24" customFormat="false" ht="25.5" hidden="false" customHeight="true" outlineLevel="0" collapsed="false">
      <c r="A24" s="6" t="s">
        <v>30</v>
      </c>
      <c r="B24" s="10" t="s">
        <v>31</v>
      </c>
      <c r="C24" s="10"/>
      <c r="D24" s="11" t="s">
        <v>32</v>
      </c>
    </row>
    <row r="25" customFormat="false" ht="25.5" hidden="false" customHeight="true" outlineLevel="0" collapsed="false">
      <c r="A25" s="6" t="s">
        <v>33</v>
      </c>
      <c r="B25" s="10" t="s">
        <v>34</v>
      </c>
      <c r="C25" s="10"/>
      <c r="D25" s="11" t="s">
        <v>35</v>
      </c>
    </row>
    <row r="26" customFormat="false" ht="25.5" hidden="false" customHeight="true" outlineLevel="0" collapsed="false">
      <c r="A26" s="6" t="s">
        <v>36</v>
      </c>
      <c r="B26" s="10" t="s">
        <v>37</v>
      </c>
      <c r="C26" s="10"/>
      <c r="D26" s="11" t="s">
        <v>38</v>
      </c>
    </row>
    <row r="27" customFormat="false" ht="25.5" hidden="false" customHeight="true" outlineLevel="0" collapsed="false">
      <c r="A27" s="6" t="s">
        <v>39</v>
      </c>
      <c r="B27" s="10" t="s">
        <v>40</v>
      </c>
      <c r="C27" s="10"/>
      <c r="D27" s="11" t="s">
        <v>41</v>
      </c>
    </row>
    <row r="28" customFormat="false" ht="25.5" hidden="false" customHeight="true" outlineLevel="0" collapsed="false">
      <c r="A28" s="6" t="s">
        <v>42</v>
      </c>
      <c r="B28" s="10" t="s">
        <v>43</v>
      </c>
      <c r="C28" s="10"/>
      <c r="D28" s="11" t="s">
        <v>44</v>
      </c>
    </row>
    <row r="29" customFormat="false" ht="25.5" hidden="false" customHeight="true" outlineLevel="0" collapsed="false">
      <c r="A29" s="6" t="s">
        <v>45</v>
      </c>
      <c r="B29" s="10" t="s">
        <v>46</v>
      </c>
      <c r="C29" s="10"/>
      <c r="D29" s="11" t="s">
        <v>47</v>
      </c>
    </row>
    <row r="30" customFormat="false" ht="25.5" hidden="false" customHeight="true" outlineLevel="0" collapsed="false">
      <c r="A30" s="6" t="s">
        <v>48</v>
      </c>
      <c r="B30" s="10" t="s">
        <v>49</v>
      </c>
      <c r="C30" s="10"/>
      <c r="D30" s="11" t="s">
        <v>50</v>
      </c>
    </row>
    <row r="31" customFormat="false" ht="25.5" hidden="false" customHeight="true" outlineLevel="0" collapsed="false">
      <c r="A31" s="6" t="s">
        <v>51</v>
      </c>
      <c r="B31" s="10" t="s">
        <v>52</v>
      </c>
      <c r="C31" s="10"/>
      <c r="D31" s="11" t="s">
        <v>53</v>
      </c>
    </row>
  </sheetData>
  <mergeCells count="17">
    <mergeCell ref="A1:D1"/>
    <mergeCell ref="A2:D2"/>
    <mergeCell ref="A4:D4"/>
    <mergeCell ref="A5:D5"/>
    <mergeCell ref="A6:D6"/>
    <mergeCell ref="A7:D7"/>
    <mergeCell ref="A8:D8"/>
    <mergeCell ref="B22:C22"/>
    <mergeCell ref="B23:C23"/>
    <mergeCell ref="B24:C24"/>
    <mergeCell ref="B25:C25"/>
    <mergeCell ref="B26:C26"/>
    <mergeCell ref="B27:C27"/>
    <mergeCell ref="B28:C28"/>
    <mergeCell ref="B29:C29"/>
    <mergeCell ref="B30:C30"/>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2440C"/>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2"/>
    <col collapsed="false" customWidth="true" hidden="false" outlineLevel="0" max="4" min="4" style="0" width="22"/>
  </cols>
  <sheetData>
    <row r="1" customFormat="false" ht="30" hidden="false" customHeight="true" outlineLevel="0" collapsed="false">
      <c r="A1" s="1" t="s">
        <v>54</v>
      </c>
      <c r="B1" s="1"/>
      <c r="C1" s="1"/>
      <c r="D1" s="1"/>
    </row>
    <row r="2" customFormat="false" ht="18" hidden="false" customHeight="true" outlineLevel="0" collapsed="false">
      <c r="A2" s="2" t="s">
        <v>55</v>
      </c>
      <c r="B2" s="2"/>
      <c r="C2" s="2"/>
      <c r="D2" s="2"/>
    </row>
    <row r="3" customFormat="false" ht="25.5" hidden="false" customHeight="true" outlineLevel="0" collapsed="false">
      <c r="A3" s="5" t="s">
        <v>56</v>
      </c>
      <c r="B3" s="5" t="s">
        <v>57</v>
      </c>
      <c r="C3" s="5" t="s">
        <v>58</v>
      </c>
      <c r="D3" s="5" t="s">
        <v>59</v>
      </c>
    </row>
    <row r="4" customFormat="false" ht="30" hidden="false" customHeight="true" outlineLevel="0" collapsed="false">
      <c r="A4" s="7" t="n">
        <v>1</v>
      </c>
      <c r="B4" s="10" t="s">
        <v>60</v>
      </c>
      <c r="C4" s="12" t="s">
        <v>61</v>
      </c>
      <c r="D4" s="10" t="s">
        <v>62</v>
      </c>
    </row>
    <row r="5" customFormat="false" ht="30" hidden="false" customHeight="true" outlineLevel="0" collapsed="false">
      <c r="A5" s="13" t="n">
        <v>2</v>
      </c>
      <c r="B5" s="14" t="s">
        <v>63</v>
      </c>
      <c r="C5" s="12" t="s">
        <v>61</v>
      </c>
      <c r="D5" s="14" t="s">
        <v>64</v>
      </c>
    </row>
    <row r="6" customFormat="false" ht="30" hidden="false" customHeight="true" outlineLevel="0" collapsed="false">
      <c r="A6" s="7" t="n">
        <v>3</v>
      </c>
      <c r="B6" s="10" t="s">
        <v>65</v>
      </c>
      <c r="C6" s="12" t="s">
        <v>61</v>
      </c>
      <c r="D6" s="10" t="s">
        <v>66</v>
      </c>
    </row>
    <row r="7" customFormat="false" ht="30" hidden="false" customHeight="true" outlineLevel="0" collapsed="false">
      <c r="A7" s="13" t="n">
        <v>4</v>
      </c>
      <c r="B7" s="14" t="s">
        <v>67</v>
      </c>
      <c r="C7" s="12" t="s">
        <v>61</v>
      </c>
      <c r="D7" s="14" t="s">
        <v>68</v>
      </c>
    </row>
    <row r="8" customFormat="false" ht="30" hidden="false" customHeight="true" outlineLevel="0" collapsed="false">
      <c r="A8" s="7" t="n">
        <v>5</v>
      </c>
      <c r="B8" s="10" t="s">
        <v>69</v>
      </c>
      <c r="C8" s="12" t="s">
        <v>61</v>
      </c>
      <c r="D8" s="10" t="s">
        <v>68</v>
      </c>
    </row>
    <row r="9" customFormat="false" ht="30" hidden="false" customHeight="true" outlineLevel="0" collapsed="false">
      <c r="A9" s="13" t="n">
        <v>6</v>
      </c>
      <c r="B9" s="14" t="s">
        <v>70</v>
      </c>
      <c r="C9" s="12" t="s">
        <v>61</v>
      </c>
      <c r="D9" s="14" t="s">
        <v>68</v>
      </c>
    </row>
    <row r="10" customFormat="false" ht="30" hidden="false" customHeight="true" outlineLevel="0" collapsed="false">
      <c r="A10" s="7" t="n">
        <v>7</v>
      </c>
      <c r="B10" s="10" t="s">
        <v>71</v>
      </c>
      <c r="C10" s="9" t="s">
        <v>72</v>
      </c>
      <c r="D10" s="10" t="s">
        <v>73</v>
      </c>
    </row>
    <row r="11" customFormat="false" ht="30" hidden="false" customHeight="true" outlineLevel="0" collapsed="false">
      <c r="A11" s="13" t="n">
        <v>8</v>
      </c>
      <c r="B11" s="14" t="s">
        <v>74</v>
      </c>
      <c r="C11" s="9" t="s">
        <v>72</v>
      </c>
      <c r="D11" s="14" t="s">
        <v>75</v>
      </c>
    </row>
    <row r="12" customFormat="false" ht="30" hidden="false" customHeight="true" outlineLevel="0" collapsed="false">
      <c r="A12" s="7" t="n">
        <v>9</v>
      </c>
      <c r="B12" s="10" t="s">
        <v>76</v>
      </c>
      <c r="C12" s="9" t="s">
        <v>72</v>
      </c>
      <c r="D12" s="10" t="s">
        <v>77</v>
      </c>
    </row>
    <row r="13" customFormat="false" ht="30" hidden="false" customHeight="true" outlineLevel="0" collapsed="false">
      <c r="A13" s="13" t="n">
        <v>10</v>
      </c>
      <c r="B13" s="14" t="s">
        <v>78</v>
      </c>
      <c r="C13" s="9" t="s">
        <v>72</v>
      </c>
      <c r="D13" s="14" t="s">
        <v>79</v>
      </c>
    </row>
    <row r="14" customFormat="false" ht="30" hidden="false" customHeight="true" outlineLevel="0" collapsed="false">
      <c r="A14" s="7" t="n">
        <v>11</v>
      </c>
      <c r="B14" s="10" t="s">
        <v>80</v>
      </c>
      <c r="C14" s="9" t="s">
        <v>72</v>
      </c>
      <c r="D14" s="10" t="s">
        <v>81</v>
      </c>
    </row>
    <row r="15" customFormat="false" ht="30" hidden="false" customHeight="true" outlineLevel="0" collapsed="false">
      <c r="A15" s="13" t="n">
        <v>12</v>
      </c>
      <c r="B15" s="14" t="s">
        <v>82</v>
      </c>
      <c r="C15" s="9" t="s">
        <v>72</v>
      </c>
      <c r="D15" s="14" t="s">
        <v>68</v>
      </c>
    </row>
    <row r="16" customFormat="false" ht="30" hidden="false" customHeight="true" outlineLevel="0" collapsed="false">
      <c r="A16" s="7" t="n">
        <v>13</v>
      </c>
      <c r="B16" s="10" t="s">
        <v>83</v>
      </c>
      <c r="C16" s="9" t="s">
        <v>72</v>
      </c>
      <c r="D16" s="10" t="s">
        <v>84</v>
      </c>
    </row>
    <row r="17" customFormat="false" ht="30" hidden="false" customHeight="true" outlineLevel="0" collapsed="false">
      <c r="A17" s="13" t="n">
        <v>14</v>
      </c>
      <c r="B17" s="14" t="s">
        <v>85</v>
      </c>
      <c r="C17" s="9" t="s">
        <v>72</v>
      </c>
      <c r="D17" s="14" t="s">
        <v>68</v>
      </c>
    </row>
    <row r="18" customFormat="false" ht="30" hidden="false" customHeight="true" outlineLevel="0" collapsed="false">
      <c r="A18" s="7" t="n">
        <v>15</v>
      </c>
      <c r="B18" s="10" t="s">
        <v>86</v>
      </c>
      <c r="C18" s="9" t="s">
        <v>72</v>
      </c>
      <c r="D18" s="10" t="s">
        <v>45</v>
      </c>
    </row>
    <row r="19" customFormat="false" ht="30" hidden="false" customHeight="true" outlineLevel="0" collapsed="false">
      <c r="A19" s="13" t="n">
        <v>16</v>
      </c>
      <c r="B19" s="14" t="s">
        <v>87</v>
      </c>
      <c r="C19" s="13" t="s">
        <v>88</v>
      </c>
      <c r="D19" s="14" t="s">
        <v>89</v>
      </c>
    </row>
    <row r="20" customFormat="false" ht="30" hidden="false" customHeight="true" outlineLevel="0" collapsed="false">
      <c r="A20" s="7" t="n">
        <v>17</v>
      </c>
      <c r="B20" s="10" t="s">
        <v>90</v>
      </c>
      <c r="C20" s="13" t="s">
        <v>88</v>
      </c>
      <c r="D20" s="10" t="s">
        <v>91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3A5E"/>
    <pageSetUpPr fitToPage="false"/>
  </sheetPr>
  <dimension ref="A1:T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34"/>
    <col collapsed="false" customWidth="true" hidden="false" outlineLevel="0" max="4" min="4" style="0" width="12"/>
    <col collapsed="false" customWidth="true" hidden="false" outlineLevel="0" max="5" min="5" style="0" width="9"/>
    <col collapsed="false" customWidth="true" hidden="false" outlineLevel="0" max="6" min="6" style="0" width="13"/>
    <col collapsed="false" customWidth="true" hidden="false" outlineLevel="0" max="8" min="7" style="0" width="12"/>
    <col collapsed="false" customWidth="true" hidden="false" outlineLevel="0" max="9" min="9" style="0" width="34"/>
    <col collapsed="false" customWidth="true" hidden="false" outlineLevel="0" max="10" min="10" style="0" width="14"/>
    <col collapsed="false" customWidth="true" hidden="false" outlineLevel="0" max="11" min="11" style="0" width="30"/>
    <col collapsed="false" customWidth="true" hidden="false" outlineLevel="0" max="12" min="12" style="0" width="16"/>
    <col collapsed="false" customWidth="true" hidden="false" outlineLevel="0" max="13" min="13" style="0" width="30"/>
    <col collapsed="false" customWidth="true" hidden="false" outlineLevel="0" max="14" min="14" style="0" width="16"/>
    <col collapsed="false" customWidth="true" hidden="false" outlineLevel="0" max="15" min="15" style="0" width="8"/>
    <col collapsed="false" customWidth="true" hidden="false" outlineLevel="0" max="16" min="16" style="0" width="10"/>
    <col collapsed="false" customWidth="true" hidden="false" outlineLevel="0" max="17" min="17" style="0" width="13"/>
    <col collapsed="false" customWidth="true" hidden="false" outlineLevel="0" max="18" min="18" style="0" width="11"/>
    <col collapsed="false" customWidth="true" hidden="false" outlineLevel="0" max="19" min="19" style="0" width="34"/>
    <col collapsed="false" customWidth="true" hidden="false" outlineLevel="0" max="20" min="20" style="0" width="40"/>
  </cols>
  <sheetData>
    <row r="1" customFormat="false" ht="30" hidden="false" customHeight="true" outlineLevel="0" collapsed="false">
      <c r="A1" s="1" t="s">
        <v>92</v>
      </c>
      <c r="B1" s="1"/>
      <c r="C1" s="1"/>
      <c r="D1" s="1"/>
      <c r="E1" s="1"/>
      <c r="F1" s="1"/>
      <c r="G1" s="1"/>
      <c r="H1" s="1"/>
      <c r="I1" s="1"/>
      <c r="J1" s="1"/>
      <c r="K1" s="1"/>
      <c r="L1" s="1"/>
      <c r="M1" s="1"/>
      <c r="N1" s="1"/>
      <c r="O1" s="1"/>
      <c r="P1" s="1"/>
      <c r="Q1" s="1"/>
      <c r="R1" s="1"/>
      <c r="S1" s="1"/>
      <c r="T1" s="1"/>
    </row>
    <row r="2" customFormat="false" ht="18" hidden="false" customHeight="true" outlineLevel="0" collapsed="false">
      <c r="A2" s="2" t="s">
        <v>93</v>
      </c>
      <c r="B2" s="2"/>
      <c r="C2" s="2"/>
      <c r="D2" s="2"/>
      <c r="E2" s="2"/>
      <c r="F2" s="2"/>
      <c r="G2" s="2"/>
      <c r="H2" s="2"/>
      <c r="I2" s="2"/>
      <c r="J2" s="2"/>
      <c r="K2" s="2"/>
      <c r="L2" s="2"/>
      <c r="M2" s="2"/>
      <c r="N2" s="2"/>
      <c r="O2" s="2"/>
      <c r="P2" s="2"/>
      <c r="Q2" s="2"/>
      <c r="R2" s="2"/>
      <c r="S2" s="2"/>
      <c r="T2" s="2"/>
    </row>
    <row r="3" customFormat="false" ht="25.5" hidden="false" customHeight="true" outlineLevel="0" collapsed="false">
      <c r="A3" s="5" t="s">
        <v>94</v>
      </c>
      <c r="B3" s="5" t="s">
        <v>95</v>
      </c>
      <c r="C3" s="5" t="s">
        <v>96</v>
      </c>
      <c r="D3" s="5" t="s">
        <v>97</v>
      </c>
      <c r="E3" s="5" t="s">
        <v>98</v>
      </c>
      <c r="F3" s="5" t="s">
        <v>9</v>
      </c>
      <c r="G3" s="5" t="s">
        <v>99</v>
      </c>
      <c r="H3" s="5" t="s">
        <v>100</v>
      </c>
      <c r="I3" s="5" t="s">
        <v>101</v>
      </c>
      <c r="J3" s="5" t="s">
        <v>102</v>
      </c>
      <c r="K3" s="5" t="s">
        <v>103</v>
      </c>
      <c r="L3" s="5" t="s">
        <v>104</v>
      </c>
      <c r="M3" s="5" t="s">
        <v>105</v>
      </c>
      <c r="N3" s="5" t="s">
        <v>106</v>
      </c>
      <c r="O3" s="5" t="s">
        <v>107</v>
      </c>
      <c r="P3" s="5" t="s">
        <v>108</v>
      </c>
      <c r="Q3" s="5" t="s">
        <v>109</v>
      </c>
      <c r="R3" s="5" t="s">
        <v>110</v>
      </c>
      <c r="S3" s="5" t="s">
        <v>111</v>
      </c>
      <c r="T3" s="5" t="s">
        <v>112</v>
      </c>
    </row>
    <row r="4" customFormat="false" ht="27.75" hidden="false" customHeight="true" outlineLevel="0" collapsed="false">
      <c r="A4" s="10" t="s">
        <v>113</v>
      </c>
      <c r="B4" s="10" t="s">
        <v>114</v>
      </c>
      <c r="C4" s="10" t="s">
        <v>115</v>
      </c>
      <c r="D4" s="10" t="s">
        <v>116</v>
      </c>
      <c r="E4" s="10" t="s">
        <v>117</v>
      </c>
      <c r="F4" s="10" t="s">
        <v>13</v>
      </c>
      <c r="G4" s="15"/>
      <c r="H4" s="15"/>
      <c r="I4" s="15"/>
      <c r="J4" s="15"/>
      <c r="K4" s="10"/>
      <c r="L4" s="10" t="s">
        <v>118</v>
      </c>
      <c r="M4" s="10" t="s">
        <v>118</v>
      </c>
      <c r="N4" s="10" t="s">
        <v>119</v>
      </c>
      <c r="O4" s="15"/>
      <c r="P4" s="10" t="s">
        <v>120</v>
      </c>
      <c r="Q4" s="15"/>
      <c r="R4" s="15"/>
      <c r="S4" s="10" t="s">
        <v>121</v>
      </c>
      <c r="T4" s="10" t="s">
        <v>122</v>
      </c>
    </row>
    <row r="5" customFormat="false" ht="27.75" hidden="false" customHeight="true" outlineLevel="0" collapsed="false">
      <c r="A5" s="14" t="s">
        <v>123</v>
      </c>
      <c r="B5" s="14" t="s">
        <v>114</v>
      </c>
      <c r="C5" s="14" t="s">
        <v>124</v>
      </c>
      <c r="D5" s="14" t="s">
        <v>125</v>
      </c>
      <c r="E5" s="14" t="s">
        <v>126</v>
      </c>
      <c r="F5" s="14" t="s">
        <v>13</v>
      </c>
      <c r="G5" s="15"/>
      <c r="H5" s="15"/>
      <c r="I5" s="15"/>
      <c r="J5" s="15"/>
      <c r="K5" s="14"/>
      <c r="L5" s="14" t="s">
        <v>118</v>
      </c>
      <c r="M5" s="14" t="s">
        <v>127</v>
      </c>
      <c r="N5" s="14" t="s">
        <v>118</v>
      </c>
      <c r="O5" s="15"/>
      <c r="P5" s="14" t="s">
        <v>128</v>
      </c>
      <c r="Q5" s="15"/>
      <c r="R5" s="15"/>
      <c r="S5" s="14" t="s">
        <v>129</v>
      </c>
      <c r="T5" s="14" t="s">
        <v>130</v>
      </c>
    </row>
    <row r="6" customFormat="false" ht="27.75" hidden="false" customHeight="true" outlineLevel="0" collapsed="false">
      <c r="A6" s="10" t="s">
        <v>131</v>
      </c>
      <c r="B6" s="10" t="s">
        <v>114</v>
      </c>
      <c r="C6" s="10" t="s">
        <v>132</v>
      </c>
      <c r="D6" s="10" t="s">
        <v>125</v>
      </c>
      <c r="E6" s="10" t="s">
        <v>133</v>
      </c>
      <c r="F6" s="10" t="s">
        <v>13</v>
      </c>
      <c r="G6" s="15"/>
      <c r="H6" s="15"/>
      <c r="I6" s="15"/>
      <c r="J6" s="15"/>
      <c r="K6" s="10"/>
      <c r="L6" s="10" t="s">
        <v>118</v>
      </c>
      <c r="M6" s="10" t="s">
        <v>118</v>
      </c>
      <c r="N6" s="10" t="s">
        <v>134</v>
      </c>
      <c r="O6" s="15"/>
      <c r="P6" s="10" t="s">
        <v>135</v>
      </c>
      <c r="Q6" s="15"/>
      <c r="R6" s="15"/>
      <c r="S6" s="10" t="s">
        <v>136</v>
      </c>
      <c r="T6" s="10" t="s">
        <v>137</v>
      </c>
    </row>
    <row r="7" customFormat="false" ht="27.75" hidden="false" customHeight="true" outlineLevel="0" collapsed="false">
      <c r="A7" s="14" t="s">
        <v>138</v>
      </c>
      <c r="B7" s="14" t="s">
        <v>139</v>
      </c>
      <c r="C7" s="14" t="s">
        <v>140</v>
      </c>
      <c r="D7" s="14" t="s">
        <v>116</v>
      </c>
      <c r="E7" s="14" t="s">
        <v>141</v>
      </c>
      <c r="F7" s="14" t="s">
        <v>13</v>
      </c>
      <c r="G7" s="15"/>
      <c r="H7" s="15"/>
      <c r="I7" s="14" t="s">
        <v>142</v>
      </c>
      <c r="J7" s="15"/>
      <c r="K7" s="14" t="s">
        <v>143</v>
      </c>
      <c r="L7" s="14" t="s">
        <v>144</v>
      </c>
      <c r="M7" s="14" t="s">
        <v>145</v>
      </c>
      <c r="N7" s="14" t="s">
        <v>146</v>
      </c>
      <c r="O7" s="15"/>
      <c r="P7" s="14" t="s">
        <v>147</v>
      </c>
      <c r="Q7" s="15"/>
      <c r="R7" s="15"/>
      <c r="S7" s="14" t="s">
        <v>148</v>
      </c>
      <c r="T7" s="14" t="s">
        <v>149</v>
      </c>
    </row>
    <row r="8" customFormat="false" ht="27.75" hidden="false" customHeight="true" outlineLevel="0" collapsed="false">
      <c r="A8" s="10" t="s">
        <v>150</v>
      </c>
      <c r="B8" s="10" t="s">
        <v>139</v>
      </c>
      <c r="C8" s="10" t="s">
        <v>151</v>
      </c>
      <c r="D8" s="10" t="s">
        <v>125</v>
      </c>
      <c r="E8" s="10" t="s">
        <v>152</v>
      </c>
      <c r="F8" s="10" t="s">
        <v>13</v>
      </c>
      <c r="G8" s="15"/>
      <c r="H8" s="15"/>
      <c r="I8" s="10" t="s">
        <v>153</v>
      </c>
      <c r="J8" s="15"/>
      <c r="K8" s="10" t="s">
        <v>154</v>
      </c>
      <c r="L8" s="10" t="s">
        <v>155</v>
      </c>
      <c r="M8" s="10" t="s">
        <v>156</v>
      </c>
      <c r="N8" s="10" t="s">
        <v>146</v>
      </c>
      <c r="O8" s="10" t="s">
        <v>157</v>
      </c>
      <c r="P8" s="10" t="s">
        <v>158</v>
      </c>
      <c r="Q8" s="15"/>
      <c r="R8" s="15"/>
      <c r="S8" s="10" t="s">
        <v>159</v>
      </c>
      <c r="T8" s="10" t="s">
        <v>160</v>
      </c>
    </row>
    <row r="9" customFormat="false" ht="27.75" hidden="false" customHeight="true" outlineLevel="0" collapsed="false">
      <c r="A9" s="14" t="s">
        <v>161</v>
      </c>
      <c r="B9" s="14" t="s">
        <v>139</v>
      </c>
      <c r="C9" s="14" t="s">
        <v>162</v>
      </c>
      <c r="D9" s="14" t="s">
        <v>125</v>
      </c>
      <c r="E9" s="14" t="s">
        <v>163</v>
      </c>
      <c r="F9" s="14" t="s">
        <v>13</v>
      </c>
      <c r="G9" s="15"/>
      <c r="H9" s="15"/>
      <c r="I9" s="15"/>
      <c r="J9" s="15"/>
      <c r="K9" s="14" t="s">
        <v>164</v>
      </c>
      <c r="L9" s="14" t="s">
        <v>165</v>
      </c>
      <c r="M9" s="14" t="s">
        <v>166</v>
      </c>
      <c r="N9" s="14" t="s">
        <v>146</v>
      </c>
      <c r="O9" s="15"/>
      <c r="P9" s="14" t="s">
        <v>167</v>
      </c>
      <c r="Q9" s="15"/>
      <c r="R9" s="15"/>
      <c r="S9" s="14" t="s">
        <v>168</v>
      </c>
      <c r="T9" s="14" t="s">
        <v>169</v>
      </c>
    </row>
    <row r="10" customFormat="false" ht="27.75" hidden="false" customHeight="true" outlineLevel="0" collapsed="false">
      <c r="A10" s="10" t="s">
        <v>170</v>
      </c>
      <c r="B10" s="10" t="s">
        <v>139</v>
      </c>
      <c r="C10" s="10" t="s">
        <v>171</v>
      </c>
      <c r="D10" s="10" t="s">
        <v>125</v>
      </c>
      <c r="E10" s="10" t="s">
        <v>163</v>
      </c>
      <c r="F10" s="10" t="s">
        <v>13</v>
      </c>
      <c r="G10" s="15"/>
      <c r="H10" s="15"/>
      <c r="I10" s="15"/>
      <c r="J10" s="15"/>
      <c r="K10" s="10" t="s">
        <v>172</v>
      </c>
      <c r="L10" s="10" t="s">
        <v>165</v>
      </c>
      <c r="M10" s="10" t="s">
        <v>173</v>
      </c>
      <c r="N10" s="10" t="s">
        <v>146</v>
      </c>
      <c r="O10" s="15"/>
      <c r="P10" s="10" t="s">
        <v>174</v>
      </c>
      <c r="Q10" s="15"/>
      <c r="R10" s="15"/>
      <c r="S10" s="10" t="s">
        <v>168</v>
      </c>
      <c r="T10" s="10" t="s">
        <v>175</v>
      </c>
    </row>
    <row r="11" customFormat="false" ht="27.75" hidden="false" customHeight="true" outlineLevel="0" collapsed="false">
      <c r="A11" s="14" t="s">
        <v>176</v>
      </c>
      <c r="B11" s="14" t="s">
        <v>139</v>
      </c>
      <c r="C11" s="14" t="s">
        <v>177</v>
      </c>
      <c r="D11" s="14" t="s">
        <v>125</v>
      </c>
      <c r="E11" s="14" t="s">
        <v>163</v>
      </c>
      <c r="F11" s="14" t="s">
        <v>13</v>
      </c>
      <c r="G11" s="15"/>
      <c r="H11" s="15"/>
      <c r="I11" s="15"/>
      <c r="J11" s="15"/>
      <c r="K11" s="14" t="s">
        <v>172</v>
      </c>
      <c r="L11" s="14" t="s">
        <v>165</v>
      </c>
      <c r="M11" s="14" t="s">
        <v>173</v>
      </c>
      <c r="N11" s="14" t="s">
        <v>146</v>
      </c>
      <c r="O11" s="15"/>
      <c r="P11" s="14" t="s">
        <v>178</v>
      </c>
      <c r="Q11" s="15"/>
      <c r="R11" s="15"/>
      <c r="S11" s="14" t="s">
        <v>168</v>
      </c>
      <c r="T11" s="14"/>
    </row>
    <row r="12" customFormat="false" ht="27.75" hidden="false" customHeight="true" outlineLevel="0" collapsed="false">
      <c r="A12" s="10" t="s">
        <v>179</v>
      </c>
      <c r="B12" s="10" t="s">
        <v>139</v>
      </c>
      <c r="C12" s="10" t="s">
        <v>180</v>
      </c>
      <c r="D12" s="10" t="s">
        <v>116</v>
      </c>
      <c r="E12" s="10" t="s">
        <v>181</v>
      </c>
      <c r="F12" s="10" t="s">
        <v>13</v>
      </c>
      <c r="G12" s="15"/>
      <c r="H12" s="15"/>
      <c r="I12" s="15"/>
      <c r="J12" s="15"/>
      <c r="K12" s="10" t="s">
        <v>182</v>
      </c>
      <c r="L12" s="10" t="s">
        <v>183</v>
      </c>
      <c r="M12" s="10" t="s">
        <v>184</v>
      </c>
      <c r="N12" s="10" t="s">
        <v>146</v>
      </c>
      <c r="O12" s="15"/>
      <c r="P12" s="10" t="s">
        <v>185</v>
      </c>
      <c r="Q12" s="15"/>
      <c r="R12" s="15"/>
      <c r="S12" s="10" t="s">
        <v>186</v>
      </c>
      <c r="T12" s="10" t="s">
        <v>187</v>
      </c>
    </row>
    <row r="13" customFormat="false" ht="27.75" hidden="false" customHeight="true" outlineLevel="0" collapsed="false">
      <c r="A13" s="14" t="s">
        <v>188</v>
      </c>
      <c r="B13" s="14" t="s">
        <v>139</v>
      </c>
      <c r="C13" s="14" t="s">
        <v>189</v>
      </c>
      <c r="D13" s="14" t="s">
        <v>116</v>
      </c>
      <c r="E13" s="14" t="s">
        <v>181</v>
      </c>
      <c r="F13" s="14" t="s">
        <v>13</v>
      </c>
      <c r="G13" s="15"/>
      <c r="H13" s="15"/>
      <c r="I13" s="15"/>
      <c r="J13" s="15"/>
      <c r="K13" s="14" t="s">
        <v>190</v>
      </c>
      <c r="L13" s="14" t="s">
        <v>183</v>
      </c>
      <c r="M13" s="14" t="s">
        <v>184</v>
      </c>
      <c r="N13" s="14" t="s">
        <v>146</v>
      </c>
      <c r="O13" s="15"/>
      <c r="P13" s="14" t="s">
        <v>191</v>
      </c>
      <c r="Q13" s="15"/>
      <c r="R13" s="15"/>
      <c r="S13" s="14" t="s">
        <v>192</v>
      </c>
      <c r="T13" s="14"/>
    </row>
    <row r="14" customFormat="false" ht="27.75" hidden="false" customHeight="true" outlineLevel="0" collapsed="false">
      <c r="A14" s="10" t="s">
        <v>193</v>
      </c>
      <c r="B14" s="10" t="s">
        <v>139</v>
      </c>
      <c r="C14" s="10" t="s">
        <v>194</v>
      </c>
      <c r="D14" s="10" t="s">
        <v>116</v>
      </c>
      <c r="E14" s="10" t="s">
        <v>181</v>
      </c>
      <c r="F14" s="10" t="s">
        <v>13</v>
      </c>
      <c r="G14" s="15"/>
      <c r="H14" s="15"/>
      <c r="I14" s="15"/>
      <c r="J14" s="15"/>
      <c r="K14" s="10" t="s">
        <v>195</v>
      </c>
      <c r="L14" s="10" t="s">
        <v>183</v>
      </c>
      <c r="M14" s="10" t="s">
        <v>196</v>
      </c>
      <c r="N14" s="10" t="s">
        <v>146</v>
      </c>
      <c r="O14" s="15"/>
      <c r="P14" s="10" t="s">
        <v>197</v>
      </c>
      <c r="Q14" s="15"/>
      <c r="R14" s="15"/>
      <c r="S14" s="10" t="s">
        <v>198</v>
      </c>
      <c r="T14" s="10"/>
    </row>
    <row r="15" customFormat="false" ht="27.75" hidden="false" customHeight="true" outlineLevel="0" collapsed="false">
      <c r="A15" s="14" t="s">
        <v>199</v>
      </c>
      <c r="B15" s="14" t="s">
        <v>139</v>
      </c>
      <c r="C15" s="14" t="s">
        <v>200</v>
      </c>
      <c r="D15" s="14" t="s">
        <v>116</v>
      </c>
      <c r="E15" s="14" t="s">
        <v>181</v>
      </c>
      <c r="F15" s="14" t="s">
        <v>13</v>
      </c>
      <c r="G15" s="15"/>
      <c r="H15" s="15"/>
      <c r="I15" s="15"/>
      <c r="J15" s="15"/>
      <c r="K15" s="14" t="s">
        <v>201</v>
      </c>
      <c r="L15" s="14" t="s">
        <v>183</v>
      </c>
      <c r="M15" s="14" t="s">
        <v>196</v>
      </c>
      <c r="N15" s="14" t="s">
        <v>146</v>
      </c>
      <c r="O15" s="15"/>
      <c r="P15" s="14" t="s">
        <v>202</v>
      </c>
      <c r="Q15" s="15"/>
      <c r="R15" s="15"/>
      <c r="S15" s="14" t="s">
        <v>203</v>
      </c>
      <c r="T15" s="14"/>
    </row>
    <row r="16" customFormat="false" ht="27.75" hidden="false" customHeight="true" outlineLevel="0" collapsed="false">
      <c r="A16" s="10" t="s">
        <v>204</v>
      </c>
      <c r="B16" s="10" t="s">
        <v>139</v>
      </c>
      <c r="C16" s="10" t="s">
        <v>205</v>
      </c>
      <c r="D16" s="10" t="s">
        <v>116</v>
      </c>
      <c r="E16" s="10" t="s">
        <v>181</v>
      </c>
      <c r="F16" s="10" t="s">
        <v>13</v>
      </c>
      <c r="G16" s="15"/>
      <c r="H16" s="15"/>
      <c r="I16" s="15"/>
      <c r="J16" s="15"/>
      <c r="K16" s="10" t="s">
        <v>206</v>
      </c>
      <c r="L16" s="10" t="s">
        <v>183</v>
      </c>
      <c r="M16" s="10" t="s">
        <v>196</v>
      </c>
      <c r="N16" s="10" t="s">
        <v>146</v>
      </c>
      <c r="O16" s="15"/>
      <c r="P16" s="10" t="s">
        <v>207</v>
      </c>
      <c r="Q16" s="15"/>
      <c r="R16" s="15"/>
      <c r="S16" s="10" t="s">
        <v>208</v>
      </c>
      <c r="T16" s="10"/>
    </row>
    <row r="17" customFormat="false" ht="27.75" hidden="false" customHeight="true" outlineLevel="0" collapsed="false">
      <c r="A17" s="14" t="s">
        <v>209</v>
      </c>
      <c r="B17" s="14" t="s">
        <v>139</v>
      </c>
      <c r="C17" s="14" t="s">
        <v>210</v>
      </c>
      <c r="D17" s="14" t="s">
        <v>125</v>
      </c>
      <c r="E17" s="14" t="s">
        <v>211</v>
      </c>
      <c r="F17" s="14" t="s">
        <v>13</v>
      </c>
      <c r="G17" s="15"/>
      <c r="H17" s="15"/>
      <c r="I17" s="14" t="s">
        <v>212</v>
      </c>
      <c r="J17" s="15"/>
      <c r="K17" s="14" t="s">
        <v>213</v>
      </c>
      <c r="L17" s="14" t="s">
        <v>183</v>
      </c>
      <c r="M17" s="14" t="s">
        <v>214</v>
      </c>
      <c r="N17" s="14" t="s">
        <v>146</v>
      </c>
      <c r="O17" s="15"/>
      <c r="P17" s="14" t="s">
        <v>215</v>
      </c>
      <c r="Q17" s="15"/>
      <c r="R17" s="15"/>
      <c r="S17" s="14" t="s">
        <v>216</v>
      </c>
      <c r="T17" s="14"/>
    </row>
    <row r="18" customFormat="false" ht="27.75" hidden="false" customHeight="true" outlineLevel="0" collapsed="false">
      <c r="A18" s="10" t="s">
        <v>217</v>
      </c>
      <c r="B18" s="10" t="s">
        <v>114</v>
      </c>
      <c r="C18" s="10" t="s">
        <v>218</v>
      </c>
      <c r="D18" s="10" t="s">
        <v>219</v>
      </c>
      <c r="E18" s="10" t="s">
        <v>220</v>
      </c>
      <c r="F18" s="10" t="s">
        <v>13</v>
      </c>
      <c r="G18" s="15"/>
      <c r="H18" s="15"/>
      <c r="I18" s="15"/>
      <c r="J18" s="15"/>
      <c r="K18" s="10"/>
      <c r="L18" s="10" t="s">
        <v>118</v>
      </c>
      <c r="M18" s="10" t="s">
        <v>118</v>
      </c>
      <c r="N18" s="10" t="s">
        <v>221</v>
      </c>
      <c r="O18" s="15"/>
      <c r="P18" s="10" t="s">
        <v>222</v>
      </c>
      <c r="Q18" s="15"/>
      <c r="R18" s="15"/>
      <c r="S18" s="10" t="s">
        <v>223</v>
      </c>
      <c r="T18" s="10" t="s">
        <v>224</v>
      </c>
    </row>
    <row r="19" customFormat="false" ht="27.75" hidden="false" customHeight="true" outlineLevel="0" collapsed="false">
      <c r="A19" s="14" t="s">
        <v>225</v>
      </c>
      <c r="B19" s="14" t="s">
        <v>139</v>
      </c>
      <c r="C19" s="14" t="s">
        <v>226</v>
      </c>
      <c r="D19" s="14" t="s">
        <v>116</v>
      </c>
      <c r="E19" s="14" t="s">
        <v>227</v>
      </c>
      <c r="F19" s="14" t="s">
        <v>13</v>
      </c>
      <c r="G19" s="15"/>
      <c r="H19" s="15"/>
      <c r="I19" s="15"/>
      <c r="J19" s="15"/>
      <c r="K19" s="14" t="s">
        <v>228</v>
      </c>
      <c r="L19" s="14" t="s">
        <v>165</v>
      </c>
      <c r="M19" s="14" t="s">
        <v>229</v>
      </c>
      <c r="N19" s="14" t="s">
        <v>230</v>
      </c>
      <c r="O19" s="15"/>
      <c r="P19" s="14" t="s">
        <v>231</v>
      </c>
      <c r="Q19" s="15"/>
      <c r="R19" s="15"/>
      <c r="S19" s="14" t="s">
        <v>232</v>
      </c>
      <c r="T19" s="14"/>
    </row>
    <row r="20" customFormat="false" ht="27.75" hidden="false" customHeight="true" outlineLevel="0" collapsed="false">
      <c r="A20" s="10" t="s">
        <v>233</v>
      </c>
      <c r="B20" s="10" t="s">
        <v>139</v>
      </c>
      <c r="C20" s="10" t="s">
        <v>234</v>
      </c>
      <c r="D20" s="10" t="s">
        <v>116</v>
      </c>
      <c r="E20" s="10" t="s">
        <v>235</v>
      </c>
      <c r="F20" s="10" t="s">
        <v>13</v>
      </c>
      <c r="G20" s="15"/>
      <c r="H20" s="15"/>
      <c r="I20" s="15"/>
      <c r="J20" s="15"/>
      <c r="K20" s="10" t="s">
        <v>236</v>
      </c>
      <c r="L20" s="10" t="s">
        <v>144</v>
      </c>
      <c r="M20" s="10" t="s">
        <v>173</v>
      </c>
      <c r="N20" s="10" t="s">
        <v>237</v>
      </c>
      <c r="O20" s="15"/>
      <c r="P20" s="10" t="s">
        <v>238</v>
      </c>
      <c r="Q20" s="15"/>
      <c r="R20" s="15"/>
      <c r="S20" s="10" t="s">
        <v>239</v>
      </c>
      <c r="T20" s="10"/>
    </row>
    <row r="21" customFormat="false" ht="27.75" hidden="false" customHeight="true" outlineLevel="0" collapsed="false">
      <c r="A21" s="14" t="s">
        <v>240</v>
      </c>
      <c r="B21" s="14" t="s">
        <v>139</v>
      </c>
      <c r="C21" s="14" t="s">
        <v>241</v>
      </c>
      <c r="D21" s="14" t="s">
        <v>116</v>
      </c>
      <c r="E21" s="14" t="s">
        <v>242</v>
      </c>
      <c r="F21" s="14" t="s">
        <v>13</v>
      </c>
      <c r="G21" s="15"/>
      <c r="H21" s="15"/>
      <c r="I21" s="15"/>
      <c r="J21" s="15"/>
      <c r="K21" s="14" t="s">
        <v>243</v>
      </c>
      <c r="L21" s="14" t="s">
        <v>144</v>
      </c>
      <c r="M21" s="14" t="s">
        <v>244</v>
      </c>
      <c r="N21" s="14" t="s">
        <v>146</v>
      </c>
      <c r="O21" s="15"/>
      <c r="P21" s="14" t="s">
        <v>245</v>
      </c>
      <c r="Q21" s="15"/>
      <c r="R21" s="15"/>
      <c r="S21" s="14" t="s">
        <v>246</v>
      </c>
      <c r="T21" s="14"/>
    </row>
    <row r="22" customFormat="false" ht="27.75" hidden="false" customHeight="true" outlineLevel="0" collapsed="false">
      <c r="A22" s="10" t="s">
        <v>247</v>
      </c>
      <c r="B22" s="10" t="s">
        <v>139</v>
      </c>
      <c r="C22" s="10" t="s">
        <v>248</v>
      </c>
      <c r="D22" s="10" t="s">
        <v>125</v>
      </c>
      <c r="E22" s="10" t="s">
        <v>249</v>
      </c>
      <c r="F22" s="10" t="s">
        <v>13</v>
      </c>
      <c r="G22" s="15"/>
      <c r="H22" s="15"/>
      <c r="I22" s="15"/>
      <c r="J22" s="15"/>
      <c r="K22" s="10" t="s">
        <v>250</v>
      </c>
      <c r="L22" s="10" t="s">
        <v>165</v>
      </c>
      <c r="M22" s="10" t="s">
        <v>173</v>
      </c>
      <c r="N22" s="10" t="s">
        <v>146</v>
      </c>
      <c r="O22" s="15"/>
      <c r="P22" s="10" t="s">
        <v>251</v>
      </c>
      <c r="Q22" s="15"/>
      <c r="R22" s="15"/>
      <c r="S22" s="10" t="s">
        <v>252</v>
      </c>
      <c r="T22" s="10" t="s">
        <v>253</v>
      </c>
    </row>
    <row r="23" customFormat="false" ht="27.75" hidden="false" customHeight="true" outlineLevel="0" collapsed="false">
      <c r="A23" s="14" t="s">
        <v>254</v>
      </c>
      <c r="B23" s="14" t="s">
        <v>139</v>
      </c>
      <c r="C23" s="14" t="s">
        <v>255</v>
      </c>
      <c r="D23" s="14" t="s">
        <v>125</v>
      </c>
      <c r="E23" s="14" t="s">
        <v>256</v>
      </c>
      <c r="F23" s="14" t="s">
        <v>13</v>
      </c>
      <c r="G23" s="15"/>
      <c r="H23" s="15"/>
      <c r="I23" s="14" t="s">
        <v>257</v>
      </c>
      <c r="J23" s="15"/>
      <c r="K23" s="14" t="s">
        <v>258</v>
      </c>
      <c r="L23" s="14" t="s">
        <v>259</v>
      </c>
      <c r="M23" s="14" t="s">
        <v>260</v>
      </c>
      <c r="N23" s="14" t="s">
        <v>146</v>
      </c>
      <c r="O23" s="15"/>
      <c r="P23" s="14" t="s">
        <v>261</v>
      </c>
      <c r="Q23" s="15"/>
      <c r="R23" s="15"/>
      <c r="S23" s="14" t="s">
        <v>262</v>
      </c>
      <c r="T23" s="14" t="s">
        <v>263</v>
      </c>
    </row>
    <row r="24" customFormat="false" ht="27.75" hidden="false" customHeight="true" outlineLevel="0" collapsed="false">
      <c r="A24" s="10" t="s">
        <v>264</v>
      </c>
      <c r="B24" s="10" t="s">
        <v>114</v>
      </c>
      <c r="C24" s="10" t="s">
        <v>265</v>
      </c>
      <c r="D24" s="10" t="s">
        <v>72</v>
      </c>
      <c r="E24" s="10" t="s">
        <v>266</v>
      </c>
      <c r="F24" s="10" t="s">
        <v>13</v>
      </c>
      <c r="G24" s="15"/>
      <c r="H24" s="15"/>
      <c r="I24" s="15"/>
      <c r="J24" s="15"/>
      <c r="K24" s="10"/>
      <c r="L24" s="10" t="s">
        <v>118</v>
      </c>
      <c r="M24" s="10" t="s">
        <v>267</v>
      </c>
      <c r="N24" s="10" t="s">
        <v>221</v>
      </c>
      <c r="O24" s="15"/>
      <c r="P24" s="10" t="s">
        <v>268</v>
      </c>
      <c r="Q24" s="15"/>
      <c r="R24" s="15"/>
      <c r="S24" s="10" t="s">
        <v>269</v>
      </c>
      <c r="T24" s="10" t="s">
        <v>270</v>
      </c>
    </row>
    <row r="25" customFormat="false" ht="27.75" hidden="false" customHeight="true" outlineLevel="0" collapsed="false">
      <c r="A25" s="14" t="s">
        <v>271</v>
      </c>
      <c r="B25" s="14" t="s">
        <v>114</v>
      </c>
      <c r="C25" s="14" t="s">
        <v>272</v>
      </c>
      <c r="D25" s="14" t="s">
        <v>125</v>
      </c>
      <c r="E25" s="14" t="s">
        <v>273</v>
      </c>
      <c r="F25" s="14" t="s">
        <v>13</v>
      </c>
      <c r="G25" s="15"/>
      <c r="H25" s="15"/>
      <c r="I25" s="15"/>
      <c r="J25" s="15"/>
      <c r="K25" s="14"/>
      <c r="L25" s="14" t="s">
        <v>118</v>
      </c>
      <c r="M25" s="14" t="s">
        <v>118</v>
      </c>
      <c r="N25" s="14" t="s">
        <v>221</v>
      </c>
      <c r="O25" s="15"/>
      <c r="P25" s="14" t="s">
        <v>274</v>
      </c>
      <c r="Q25" s="15"/>
      <c r="R25" s="15"/>
      <c r="S25" s="14" t="s">
        <v>275</v>
      </c>
      <c r="T25" s="14" t="s">
        <v>276</v>
      </c>
    </row>
    <row r="26" customFormat="false" ht="27.75" hidden="false" customHeight="true" outlineLevel="0" collapsed="false">
      <c r="A26" s="10" t="s">
        <v>277</v>
      </c>
      <c r="B26" s="10" t="s">
        <v>139</v>
      </c>
      <c r="C26" s="10" t="s">
        <v>278</v>
      </c>
      <c r="D26" s="10" t="s">
        <v>219</v>
      </c>
      <c r="E26" s="10" t="s">
        <v>279</v>
      </c>
      <c r="F26" s="10" t="s">
        <v>13</v>
      </c>
      <c r="G26" s="15"/>
      <c r="H26" s="15"/>
      <c r="I26" s="15"/>
      <c r="J26" s="15"/>
      <c r="K26" s="10" t="s">
        <v>280</v>
      </c>
      <c r="L26" s="10" t="s">
        <v>281</v>
      </c>
      <c r="M26" s="10" t="s">
        <v>282</v>
      </c>
      <c r="N26" s="10" t="s">
        <v>283</v>
      </c>
      <c r="O26" s="15"/>
      <c r="P26" s="10" t="s">
        <v>284</v>
      </c>
      <c r="Q26" s="15"/>
      <c r="R26" s="15"/>
      <c r="S26" s="10" t="s">
        <v>285</v>
      </c>
      <c r="T26" s="10" t="s">
        <v>286</v>
      </c>
    </row>
    <row r="27" customFormat="false" ht="27.75" hidden="false" customHeight="true" outlineLevel="0" collapsed="false">
      <c r="A27" s="14" t="s">
        <v>287</v>
      </c>
      <c r="B27" s="14" t="s">
        <v>139</v>
      </c>
      <c r="C27" s="14" t="s">
        <v>288</v>
      </c>
      <c r="D27" s="14" t="s">
        <v>219</v>
      </c>
      <c r="E27" s="14" t="s">
        <v>289</v>
      </c>
      <c r="F27" s="14" t="s">
        <v>13</v>
      </c>
      <c r="G27" s="15"/>
      <c r="H27" s="15"/>
      <c r="I27" s="15"/>
      <c r="J27" s="15"/>
      <c r="K27" s="14" t="s">
        <v>290</v>
      </c>
      <c r="L27" s="14" t="s">
        <v>259</v>
      </c>
      <c r="M27" s="14" t="s">
        <v>173</v>
      </c>
      <c r="N27" s="14" t="s">
        <v>146</v>
      </c>
      <c r="O27" s="15"/>
      <c r="P27" s="14" t="s">
        <v>291</v>
      </c>
      <c r="Q27" s="15"/>
      <c r="R27" s="15"/>
      <c r="S27" s="14" t="s">
        <v>292</v>
      </c>
      <c r="T27" s="14"/>
    </row>
    <row r="28" customFormat="false" ht="27.75" hidden="false" customHeight="true" outlineLevel="0" collapsed="false">
      <c r="A28" s="10" t="s">
        <v>293</v>
      </c>
      <c r="B28" s="10" t="s">
        <v>139</v>
      </c>
      <c r="C28" s="10" t="s">
        <v>294</v>
      </c>
      <c r="D28" s="10" t="s">
        <v>125</v>
      </c>
      <c r="E28" s="10" t="s">
        <v>295</v>
      </c>
      <c r="F28" s="10" t="s">
        <v>13</v>
      </c>
      <c r="G28" s="15"/>
      <c r="H28" s="15"/>
      <c r="I28" s="10" t="s">
        <v>296</v>
      </c>
      <c r="J28" s="15"/>
      <c r="K28" s="10" t="s">
        <v>297</v>
      </c>
      <c r="L28" s="10" t="s">
        <v>298</v>
      </c>
      <c r="M28" s="10" t="s">
        <v>229</v>
      </c>
      <c r="N28" s="10" t="s">
        <v>146</v>
      </c>
      <c r="O28" s="15"/>
      <c r="P28" s="10" t="s">
        <v>299</v>
      </c>
      <c r="Q28" s="15"/>
      <c r="R28" s="15"/>
      <c r="S28" s="10" t="s">
        <v>300</v>
      </c>
      <c r="T28" s="10" t="s">
        <v>301</v>
      </c>
    </row>
    <row r="29" customFormat="false" ht="27.75" hidden="false" customHeight="true" outlineLevel="0" collapsed="false">
      <c r="A29" s="14" t="s">
        <v>302</v>
      </c>
      <c r="B29" s="14" t="s">
        <v>114</v>
      </c>
      <c r="C29" s="14" t="s">
        <v>303</v>
      </c>
      <c r="D29" s="14" t="s">
        <v>219</v>
      </c>
      <c r="E29" s="14" t="s">
        <v>304</v>
      </c>
      <c r="F29" s="14" t="s">
        <v>13</v>
      </c>
      <c r="G29" s="15"/>
      <c r="H29" s="15"/>
      <c r="I29" s="15"/>
      <c r="J29" s="15"/>
      <c r="K29" s="14"/>
      <c r="L29" s="14" t="s">
        <v>118</v>
      </c>
      <c r="M29" s="14" t="s">
        <v>118</v>
      </c>
      <c r="N29" s="14" t="s">
        <v>221</v>
      </c>
      <c r="O29" s="15"/>
      <c r="P29" s="14" t="s">
        <v>305</v>
      </c>
      <c r="Q29" s="15"/>
      <c r="R29" s="15"/>
      <c r="S29" s="14" t="s">
        <v>306</v>
      </c>
      <c r="T29" s="14" t="s">
        <v>307</v>
      </c>
    </row>
    <row r="30" customFormat="false" ht="27.75" hidden="false" customHeight="true" outlineLevel="0" collapsed="false">
      <c r="A30" s="10" t="s">
        <v>308</v>
      </c>
      <c r="B30" s="10" t="s">
        <v>139</v>
      </c>
      <c r="C30" s="10" t="s">
        <v>309</v>
      </c>
      <c r="D30" s="10" t="s">
        <v>72</v>
      </c>
      <c r="E30" s="10" t="s">
        <v>310</v>
      </c>
      <c r="F30" s="10" t="s">
        <v>13</v>
      </c>
      <c r="G30" s="15"/>
      <c r="H30" s="15"/>
      <c r="I30" s="15"/>
      <c r="J30" s="15"/>
      <c r="K30" s="10" t="s">
        <v>213</v>
      </c>
      <c r="L30" s="10" t="s">
        <v>183</v>
      </c>
      <c r="M30" s="10" t="s">
        <v>311</v>
      </c>
      <c r="N30" s="10" t="s">
        <v>146</v>
      </c>
      <c r="O30" s="15"/>
      <c r="P30" s="10" t="s">
        <v>312</v>
      </c>
      <c r="Q30" s="15"/>
      <c r="R30" s="15"/>
      <c r="S30" s="10" t="s">
        <v>313</v>
      </c>
      <c r="T30" s="10" t="s">
        <v>314</v>
      </c>
    </row>
    <row r="31" customFormat="false" ht="27.75" hidden="false" customHeight="true" outlineLevel="0" collapsed="false">
      <c r="A31" s="14" t="s">
        <v>315</v>
      </c>
      <c r="B31" s="14" t="s">
        <v>139</v>
      </c>
      <c r="C31" s="14" t="s">
        <v>316</v>
      </c>
      <c r="D31" s="14" t="s">
        <v>72</v>
      </c>
      <c r="E31" s="14" t="s">
        <v>317</v>
      </c>
      <c r="F31" s="14" t="s">
        <v>13</v>
      </c>
      <c r="G31" s="15"/>
      <c r="H31" s="15"/>
      <c r="I31" s="14" t="s">
        <v>318</v>
      </c>
      <c r="J31" s="15"/>
      <c r="K31" s="14" t="s">
        <v>319</v>
      </c>
      <c r="L31" s="14" t="s">
        <v>298</v>
      </c>
      <c r="M31" s="14" t="s">
        <v>320</v>
      </c>
      <c r="N31" s="14" t="s">
        <v>146</v>
      </c>
      <c r="O31" s="15"/>
      <c r="P31" s="14" t="s">
        <v>321</v>
      </c>
      <c r="Q31" s="15"/>
      <c r="R31" s="15"/>
      <c r="S31" s="14" t="s">
        <v>322</v>
      </c>
      <c r="T31" s="14" t="s">
        <v>301</v>
      </c>
    </row>
    <row r="32" customFormat="false" ht="27.75" hidden="false" customHeight="true" outlineLevel="0" collapsed="false">
      <c r="A32" s="10" t="s">
        <v>323</v>
      </c>
      <c r="B32" s="10" t="s">
        <v>139</v>
      </c>
      <c r="C32" s="10" t="s">
        <v>324</v>
      </c>
      <c r="D32" s="10" t="s">
        <v>72</v>
      </c>
      <c r="E32" s="10" t="s">
        <v>325</v>
      </c>
      <c r="F32" s="10" t="s">
        <v>13</v>
      </c>
      <c r="G32" s="15"/>
      <c r="H32" s="15"/>
      <c r="I32" s="15"/>
      <c r="J32" s="15"/>
      <c r="K32" s="10" t="s">
        <v>326</v>
      </c>
      <c r="L32" s="10" t="s">
        <v>298</v>
      </c>
      <c r="M32" s="10" t="s">
        <v>327</v>
      </c>
      <c r="N32" s="10" t="s">
        <v>146</v>
      </c>
      <c r="O32" s="15"/>
      <c r="P32" s="10" t="s">
        <v>328</v>
      </c>
      <c r="Q32" s="15"/>
      <c r="R32" s="15"/>
      <c r="S32" s="10" t="s">
        <v>329</v>
      </c>
      <c r="T32" s="10" t="s">
        <v>330</v>
      </c>
    </row>
    <row r="33" customFormat="false" ht="27.75" hidden="false" customHeight="true" outlineLevel="0" collapsed="false">
      <c r="A33" s="14" t="s">
        <v>331</v>
      </c>
      <c r="B33" s="14" t="s">
        <v>139</v>
      </c>
      <c r="C33" s="14" t="s">
        <v>332</v>
      </c>
      <c r="D33" s="14" t="s">
        <v>72</v>
      </c>
      <c r="E33" s="14" t="s">
        <v>333</v>
      </c>
      <c r="F33" s="14" t="s">
        <v>13</v>
      </c>
      <c r="G33" s="15"/>
      <c r="H33" s="15"/>
      <c r="I33" s="15"/>
      <c r="J33" s="15"/>
      <c r="K33" s="14" t="s">
        <v>326</v>
      </c>
      <c r="L33" s="14" t="s">
        <v>298</v>
      </c>
      <c r="M33" s="14" t="s">
        <v>334</v>
      </c>
      <c r="N33" s="14" t="s">
        <v>146</v>
      </c>
      <c r="O33" s="15"/>
      <c r="P33" s="14" t="s">
        <v>335</v>
      </c>
      <c r="Q33" s="15"/>
      <c r="R33" s="15"/>
      <c r="S33" s="14" t="s">
        <v>336</v>
      </c>
      <c r="T33" s="14" t="s">
        <v>301</v>
      </c>
    </row>
    <row r="34" customFormat="false" ht="27.75" hidden="false" customHeight="true" outlineLevel="0" collapsed="false">
      <c r="A34" s="10" t="s">
        <v>337</v>
      </c>
      <c r="B34" s="10" t="s">
        <v>139</v>
      </c>
      <c r="C34" s="10" t="s">
        <v>338</v>
      </c>
      <c r="D34" s="10" t="s">
        <v>219</v>
      </c>
      <c r="E34" s="10" t="s">
        <v>339</v>
      </c>
      <c r="F34" s="10" t="s">
        <v>13</v>
      </c>
      <c r="G34" s="15"/>
      <c r="H34" s="15"/>
      <c r="I34" s="15"/>
      <c r="J34" s="15"/>
      <c r="K34" s="10" t="s">
        <v>340</v>
      </c>
      <c r="L34" s="10" t="s">
        <v>281</v>
      </c>
      <c r="M34" s="10" t="s">
        <v>341</v>
      </c>
      <c r="N34" s="10" t="s">
        <v>134</v>
      </c>
      <c r="O34" s="15"/>
      <c r="P34" s="10" t="s">
        <v>342</v>
      </c>
      <c r="Q34" s="15"/>
      <c r="R34" s="15"/>
      <c r="S34" s="10" t="s">
        <v>343</v>
      </c>
      <c r="T34" s="10"/>
    </row>
    <row r="35" customFormat="false" ht="27.75" hidden="false" customHeight="true" outlineLevel="0" collapsed="false">
      <c r="A35" s="14" t="s">
        <v>344</v>
      </c>
      <c r="B35" s="14" t="s">
        <v>139</v>
      </c>
      <c r="C35" s="14" t="s">
        <v>345</v>
      </c>
      <c r="D35" s="14" t="s">
        <v>125</v>
      </c>
      <c r="E35" s="14" t="s">
        <v>346</v>
      </c>
      <c r="F35" s="14" t="s">
        <v>13</v>
      </c>
      <c r="G35" s="15"/>
      <c r="H35" s="15"/>
      <c r="I35" s="15"/>
      <c r="J35" s="15"/>
      <c r="K35" s="14" t="s">
        <v>290</v>
      </c>
      <c r="L35" s="14" t="s">
        <v>165</v>
      </c>
      <c r="M35" s="14" t="s">
        <v>347</v>
      </c>
      <c r="N35" s="14" t="s">
        <v>134</v>
      </c>
      <c r="O35" s="15"/>
      <c r="P35" s="14" t="s">
        <v>348</v>
      </c>
      <c r="Q35" s="15"/>
      <c r="R35" s="15"/>
      <c r="S35" s="14" t="s">
        <v>349</v>
      </c>
      <c r="T35" s="14" t="s">
        <v>350</v>
      </c>
    </row>
    <row r="36" customFormat="false" ht="27.75" hidden="false" customHeight="true" outlineLevel="0" collapsed="false">
      <c r="A36" s="10" t="s">
        <v>351</v>
      </c>
      <c r="B36" s="10" t="s">
        <v>114</v>
      </c>
      <c r="C36" s="10" t="s">
        <v>352</v>
      </c>
      <c r="D36" s="10" t="s">
        <v>72</v>
      </c>
      <c r="E36" s="10" t="s">
        <v>353</v>
      </c>
      <c r="F36" s="10" t="s">
        <v>13</v>
      </c>
      <c r="G36" s="15"/>
      <c r="H36" s="15"/>
      <c r="I36" s="10" t="s">
        <v>354</v>
      </c>
      <c r="J36" s="15"/>
      <c r="K36" s="10"/>
      <c r="L36" s="10" t="s">
        <v>118</v>
      </c>
      <c r="M36" s="10" t="s">
        <v>118</v>
      </c>
      <c r="N36" s="10" t="s">
        <v>221</v>
      </c>
      <c r="O36" s="15"/>
      <c r="P36" s="10" t="s">
        <v>355</v>
      </c>
      <c r="Q36" s="15"/>
      <c r="R36" s="15"/>
      <c r="S36" s="10" t="s">
        <v>356</v>
      </c>
      <c r="T36" s="10" t="s">
        <v>357</v>
      </c>
    </row>
    <row r="37" customFormat="false" ht="27.75" hidden="false" customHeight="true" outlineLevel="0" collapsed="false">
      <c r="A37" s="14" t="s">
        <v>358</v>
      </c>
      <c r="B37" s="14" t="s">
        <v>114</v>
      </c>
      <c r="C37" s="14" t="s">
        <v>359</v>
      </c>
      <c r="D37" s="14" t="s">
        <v>72</v>
      </c>
      <c r="E37" s="14" t="s">
        <v>360</v>
      </c>
      <c r="F37" s="14" t="s">
        <v>13</v>
      </c>
      <c r="G37" s="15"/>
      <c r="H37" s="15"/>
      <c r="I37" s="15"/>
      <c r="J37" s="15"/>
      <c r="K37" s="14"/>
      <c r="L37" s="14" t="s">
        <v>118</v>
      </c>
      <c r="M37" s="14" t="s">
        <v>118</v>
      </c>
      <c r="N37" s="14" t="s">
        <v>221</v>
      </c>
      <c r="O37" s="15"/>
      <c r="P37" s="14" t="s">
        <v>361</v>
      </c>
      <c r="Q37" s="15"/>
      <c r="R37" s="15"/>
      <c r="S37" s="14" t="s">
        <v>362</v>
      </c>
      <c r="T37" s="14" t="s">
        <v>363</v>
      </c>
    </row>
    <row r="38" customFormat="false" ht="27.75" hidden="false" customHeight="true" outlineLevel="0" collapsed="false">
      <c r="A38" s="10" t="s">
        <v>364</v>
      </c>
      <c r="B38" s="10" t="s">
        <v>114</v>
      </c>
      <c r="C38" s="10" t="s">
        <v>365</v>
      </c>
      <c r="D38" s="10" t="s">
        <v>219</v>
      </c>
      <c r="E38" s="10" t="s">
        <v>366</v>
      </c>
      <c r="F38" s="10" t="s">
        <v>13</v>
      </c>
      <c r="G38" s="15"/>
      <c r="H38" s="15"/>
      <c r="I38" s="15"/>
      <c r="J38" s="15"/>
      <c r="K38" s="10"/>
      <c r="L38" s="10" t="s">
        <v>183</v>
      </c>
      <c r="M38" s="10" t="s">
        <v>118</v>
      </c>
      <c r="N38" s="10" t="s">
        <v>134</v>
      </c>
      <c r="O38" s="15"/>
      <c r="P38" s="10" t="s">
        <v>367</v>
      </c>
      <c r="Q38" s="15"/>
      <c r="R38" s="15"/>
      <c r="S38" s="10" t="s">
        <v>368</v>
      </c>
      <c r="T38" s="10"/>
    </row>
    <row r="39" customFormat="false" ht="27.75" hidden="false" customHeight="true" outlineLevel="0" collapsed="false">
      <c r="A39" s="14" t="s">
        <v>369</v>
      </c>
      <c r="B39" s="14" t="s">
        <v>139</v>
      </c>
      <c r="C39" s="14" t="s">
        <v>370</v>
      </c>
      <c r="D39" s="14" t="s">
        <v>72</v>
      </c>
      <c r="E39" s="14" t="s">
        <v>371</v>
      </c>
      <c r="F39" s="14" t="s">
        <v>13</v>
      </c>
      <c r="G39" s="15"/>
      <c r="H39" s="15"/>
      <c r="I39" s="15"/>
      <c r="J39" s="15"/>
      <c r="K39" s="14"/>
      <c r="L39" s="14" t="s">
        <v>372</v>
      </c>
      <c r="M39" s="14" t="s">
        <v>373</v>
      </c>
      <c r="N39" s="14" t="s">
        <v>118</v>
      </c>
      <c r="O39" s="15"/>
      <c r="P39" s="14" t="s">
        <v>374</v>
      </c>
      <c r="Q39" s="15"/>
      <c r="R39" s="15"/>
      <c r="S39" s="14" t="s">
        <v>375</v>
      </c>
      <c r="T39" s="14" t="s">
        <v>376</v>
      </c>
    </row>
    <row r="40" customFormat="false" ht="27.75" hidden="false" customHeight="true" outlineLevel="0" collapsed="false">
      <c r="A40" s="10" t="s">
        <v>377</v>
      </c>
      <c r="B40" s="10" t="s">
        <v>139</v>
      </c>
      <c r="C40" s="10" t="s">
        <v>378</v>
      </c>
      <c r="D40" s="10" t="s">
        <v>116</v>
      </c>
      <c r="E40" s="10" t="s">
        <v>379</v>
      </c>
      <c r="F40" s="10" t="s">
        <v>13</v>
      </c>
      <c r="G40" s="15"/>
      <c r="H40" s="15"/>
      <c r="I40" s="15"/>
      <c r="J40" s="15"/>
      <c r="K40" s="10"/>
      <c r="L40" s="10" t="s">
        <v>144</v>
      </c>
      <c r="M40" s="10" t="s">
        <v>380</v>
      </c>
      <c r="N40" s="10" t="s">
        <v>146</v>
      </c>
      <c r="O40" s="15"/>
      <c r="P40" s="10" t="s">
        <v>381</v>
      </c>
      <c r="Q40" s="15"/>
      <c r="R40" s="15"/>
      <c r="S40" s="10" t="s">
        <v>382</v>
      </c>
      <c r="T40" s="10" t="s">
        <v>383</v>
      </c>
    </row>
    <row r="41" customFormat="false" ht="27.75" hidden="false" customHeight="true" outlineLevel="0" collapsed="false">
      <c r="A41" s="14" t="s">
        <v>384</v>
      </c>
      <c r="B41" s="14" t="s">
        <v>139</v>
      </c>
      <c r="C41" s="14" t="s">
        <v>385</v>
      </c>
      <c r="D41" s="14" t="s">
        <v>72</v>
      </c>
      <c r="E41" s="14" t="s">
        <v>386</v>
      </c>
      <c r="F41" s="14" t="s">
        <v>13</v>
      </c>
      <c r="G41" s="15"/>
      <c r="H41" s="15"/>
      <c r="I41" s="15"/>
      <c r="J41" s="15"/>
      <c r="K41" s="14" t="s">
        <v>387</v>
      </c>
      <c r="L41" s="14" t="s">
        <v>298</v>
      </c>
      <c r="M41" s="14" t="s">
        <v>229</v>
      </c>
      <c r="N41" s="14" t="s">
        <v>146</v>
      </c>
      <c r="O41" s="15"/>
      <c r="P41" s="14" t="s">
        <v>388</v>
      </c>
      <c r="Q41" s="15"/>
      <c r="R41" s="15"/>
      <c r="S41" s="14" t="s">
        <v>389</v>
      </c>
      <c r="T41" s="14"/>
    </row>
    <row r="42" customFormat="false" ht="27.75" hidden="false" customHeight="true" outlineLevel="0" collapsed="false">
      <c r="A42" s="10" t="s">
        <v>390</v>
      </c>
      <c r="B42" s="10" t="s">
        <v>139</v>
      </c>
      <c r="C42" s="10" t="s">
        <v>391</v>
      </c>
      <c r="D42" s="10" t="s">
        <v>72</v>
      </c>
      <c r="E42" s="10" t="s">
        <v>392</v>
      </c>
      <c r="F42" s="10" t="s">
        <v>13</v>
      </c>
      <c r="G42" s="15"/>
      <c r="H42" s="15"/>
      <c r="I42" s="15"/>
      <c r="J42" s="15"/>
      <c r="K42" s="10" t="s">
        <v>387</v>
      </c>
      <c r="L42" s="10" t="s">
        <v>298</v>
      </c>
      <c r="M42" s="10" t="s">
        <v>393</v>
      </c>
      <c r="N42" s="10" t="s">
        <v>146</v>
      </c>
      <c r="O42" s="15"/>
      <c r="P42" s="10" t="s">
        <v>394</v>
      </c>
      <c r="Q42" s="15"/>
      <c r="R42" s="15"/>
      <c r="S42" s="10" t="s">
        <v>395</v>
      </c>
      <c r="T42" s="10"/>
    </row>
    <row r="43" customFormat="false" ht="27.75" hidden="false" customHeight="true" outlineLevel="0" collapsed="false">
      <c r="A43" s="14" t="s">
        <v>396</v>
      </c>
      <c r="B43" s="14" t="s">
        <v>114</v>
      </c>
      <c r="C43" s="14" t="s">
        <v>397</v>
      </c>
      <c r="D43" s="14" t="s">
        <v>72</v>
      </c>
      <c r="E43" s="14" t="s">
        <v>398</v>
      </c>
      <c r="F43" s="14" t="s">
        <v>13</v>
      </c>
      <c r="G43" s="15"/>
      <c r="H43" s="15"/>
      <c r="I43" s="15"/>
      <c r="J43" s="15"/>
      <c r="K43" s="14"/>
      <c r="L43" s="14" t="s">
        <v>118</v>
      </c>
      <c r="M43" s="14" t="s">
        <v>118</v>
      </c>
      <c r="N43" s="14" t="s">
        <v>221</v>
      </c>
      <c r="O43" s="15"/>
      <c r="P43" s="14" t="s">
        <v>399</v>
      </c>
      <c r="Q43" s="15"/>
      <c r="R43" s="15"/>
      <c r="S43" s="14" t="s">
        <v>400</v>
      </c>
      <c r="T43" s="14" t="s">
        <v>401</v>
      </c>
    </row>
    <row r="44" customFormat="false" ht="27.75" hidden="false" customHeight="true" outlineLevel="0" collapsed="false">
      <c r="A44" s="10" t="s">
        <v>402</v>
      </c>
      <c r="B44" s="10" t="s">
        <v>139</v>
      </c>
      <c r="C44" s="10" t="s">
        <v>403</v>
      </c>
      <c r="D44" s="10" t="s">
        <v>72</v>
      </c>
      <c r="E44" s="10" t="s">
        <v>404</v>
      </c>
      <c r="F44" s="10" t="s">
        <v>13</v>
      </c>
      <c r="G44" s="15"/>
      <c r="H44" s="15"/>
      <c r="I44" s="15"/>
      <c r="J44" s="15"/>
      <c r="K44" s="10"/>
      <c r="L44" s="10" t="s">
        <v>165</v>
      </c>
      <c r="M44" s="10" t="s">
        <v>405</v>
      </c>
      <c r="N44" s="10" t="s">
        <v>146</v>
      </c>
      <c r="O44" s="15"/>
      <c r="P44" s="10" t="s">
        <v>406</v>
      </c>
      <c r="Q44" s="15"/>
      <c r="R44" s="15"/>
      <c r="S44" s="10" t="s">
        <v>407</v>
      </c>
      <c r="T44" s="10" t="s">
        <v>408</v>
      </c>
    </row>
    <row r="45" customFormat="false" ht="27.75" hidden="false" customHeight="true" outlineLevel="0" collapsed="false">
      <c r="A45" s="14" t="s">
        <v>409</v>
      </c>
      <c r="B45" s="14" t="s">
        <v>139</v>
      </c>
      <c r="C45" s="14" t="s">
        <v>410</v>
      </c>
      <c r="D45" s="14" t="s">
        <v>411</v>
      </c>
      <c r="E45" s="14" t="s">
        <v>412</v>
      </c>
      <c r="F45" s="14" t="s">
        <v>13</v>
      </c>
      <c r="G45" s="15"/>
      <c r="H45" s="15"/>
      <c r="I45" s="15"/>
      <c r="J45" s="15"/>
      <c r="K45" s="14" t="s">
        <v>413</v>
      </c>
      <c r="L45" s="14" t="s">
        <v>298</v>
      </c>
      <c r="M45" s="14" t="s">
        <v>327</v>
      </c>
      <c r="N45" s="14" t="s">
        <v>146</v>
      </c>
      <c r="O45" s="15"/>
      <c r="P45" s="14" t="s">
        <v>414</v>
      </c>
      <c r="Q45" s="15"/>
      <c r="R45" s="15"/>
      <c r="S45" s="14" t="s">
        <v>415</v>
      </c>
      <c r="T45" s="14"/>
    </row>
    <row r="46" customFormat="false" ht="27.75" hidden="false" customHeight="true" outlineLevel="0" collapsed="false">
      <c r="A46" s="10" t="s">
        <v>416</v>
      </c>
      <c r="B46" s="10" t="s">
        <v>139</v>
      </c>
      <c r="C46" s="10" t="s">
        <v>417</v>
      </c>
      <c r="D46" s="10" t="s">
        <v>411</v>
      </c>
      <c r="E46" s="10" t="s">
        <v>418</v>
      </c>
      <c r="F46" s="10" t="s">
        <v>13</v>
      </c>
      <c r="G46" s="15"/>
      <c r="H46" s="15"/>
      <c r="I46" s="15"/>
      <c r="J46" s="15"/>
      <c r="K46" s="10" t="s">
        <v>419</v>
      </c>
      <c r="L46" s="10" t="s">
        <v>165</v>
      </c>
      <c r="M46" s="10" t="s">
        <v>420</v>
      </c>
      <c r="N46" s="10" t="s">
        <v>134</v>
      </c>
      <c r="O46" s="15"/>
      <c r="P46" s="10" t="s">
        <v>421</v>
      </c>
      <c r="Q46" s="15"/>
      <c r="R46" s="15"/>
      <c r="S46" s="10" t="s">
        <v>422</v>
      </c>
      <c r="T46" s="10"/>
    </row>
    <row r="47" customFormat="false" ht="27.75" hidden="false" customHeight="true" outlineLevel="0" collapsed="false">
      <c r="A47" s="14" t="s">
        <v>423</v>
      </c>
      <c r="B47" s="14" t="s">
        <v>114</v>
      </c>
      <c r="C47" s="14" t="s">
        <v>424</v>
      </c>
      <c r="D47" s="14" t="s">
        <v>411</v>
      </c>
      <c r="E47" s="14" t="s">
        <v>425</v>
      </c>
      <c r="F47" s="14" t="s">
        <v>13</v>
      </c>
      <c r="G47" s="15"/>
      <c r="H47" s="15"/>
      <c r="I47" s="15"/>
      <c r="J47" s="15"/>
      <c r="K47" s="14"/>
      <c r="L47" s="14" t="s">
        <v>118</v>
      </c>
      <c r="M47" s="14" t="s">
        <v>118</v>
      </c>
      <c r="N47" s="14" t="s">
        <v>221</v>
      </c>
      <c r="O47" s="15"/>
      <c r="P47" s="14" t="s">
        <v>426</v>
      </c>
      <c r="Q47" s="15"/>
      <c r="R47" s="15"/>
      <c r="S47" s="14" t="s">
        <v>427</v>
      </c>
      <c r="T47" s="14" t="s">
        <v>428</v>
      </c>
    </row>
    <row r="48" customFormat="false" ht="27.75" hidden="false" customHeight="true" outlineLevel="0" collapsed="false">
      <c r="A48" s="10" t="s">
        <v>429</v>
      </c>
      <c r="B48" s="10" t="s">
        <v>139</v>
      </c>
      <c r="C48" s="10" t="s">
        <v>430</v>
      </c>
      <c r="D48" s="10" t="s">
        <v>411</v>
      </c>
      <c r="E48" s="10" t="s">
        <v>431</v>
      </c>
      <c r="F48" s="10" t="s">
        <v>13</v>
      </c>
      <c r="G48" s="15"/>
      <c r="H48" s="15"/>
      <c r="I48" s="15"/>
      <c r="J48" s="15"/>
      <c r="K48" s="10"/>
      <c r="L48" s="10" t="s">
        <v>298</v>
      </c>
      <c r="M48" s="10" t="s">
        <v>432</v>
      </c>
      <c r="N48" s="10" t="s">
        <v>146</v>
      </c>
      <c r="O48" s="15"/>
      <c r="P48" s="10" t="s">
        <v>433</v>
      </c>
      <c r="Q48" s="15"/>
      <c r="R48" s="15"/>
      <c r="S48" s="10" t="s">
        <v>434</v>
      </c>
      <c r="T48" s="10" t="s">
        <v>435</v>
      </c>
    </row>
    <row r="49" customFormat="false" ht="27.75" hidden="false" customHeight="true" outlineLevel="0" collapsed="false">
      <c r="A49" s="14" t="s">
        <v>436</v>
      </c>
      <c r="B49" s="14" t="s">
        <v>139</v>
      </c>
      <c r="C49" s="14" t="s">
        <v>437</v>
      </c>
      <c r="D49" s="14" t="s">
        <v>411</v>
      </c>
      <c r="E49" s="14" t="s">
        <v>431</v>
      </c>
      <c r="F49" s="14" t="s">
        <v>13</v>
      </c>
      <c r="G49" s="15"/>
      <c r="H49" s="15"/>
      <c r="I49" s="15"/>
      <c r="J49" s="15"/>
      <c r="K49" s="14"/>
      <c r="L49" s="14" t="s">
        <v>298</v>
      </c>
      <c r="M49" s="14" t="s">
        <v>438</v>
      </c>
      <c r="N49" s="14" t="s">
        <v>146</v>
      </c>
      <c r="O49" s="15"/>
      <c r="P49" s="14" t="s">
        <v>439</v>
      </c>
      <c r="Q49" s="15"/>
      <c r="R49" s="15"/>
      <c r="S49" s="14" t="s">
        <v>440</v>
      </c>
      <c r="T49" s="14" t="s">
        <v>441</v>
      </c>
    </row>
    <row r="50" customFormat="false" ht="27.75" hidden="false" customHeight="true" outlineLevel="0" collapsed="false">
      <c r="A50" s="10" t="s">
        <v>442</v>
      </c>
      <c r="B50" s="10" t="s">
        <v>139</v>
      </c>
      <c r="C50" s="10" t="s">
        <v>443</v>
      </c>
      <c r="D50" s="10" t="s">
        <v>118</v>
      </c>
      <c r="E50" s="10" t="s">
        <v>18</v>
      </c>
      <c r="F50" s="16" t="s">
        <v>18</v>
      </c>
      <c r="G50" s="15"/>
      <c r="H50" s="15"/>
      <c r="I50" s="15"/>
      <c r="J50" s="15"/>
      <c r="K50" s="10"/>
      <c r="L50" s="10" t="s">
        <v>118</v>
      </c>
      <c r="M50" s="10" t="s">
        <v>118</v>
      </c>
      <c r="N50" s="10" t="s">
        <v>146</v>
      </c>
      <c r="O50" s="15"/>
      <c r="P50" s="10"/>
      <c r="Q50" s="15"/>
      <c r="R50" s="15"/>
      <c r="S50" s="10" t="s">
        <v>444</v>
      </c>
      <c r="T50" s="10" t="s">
        <v>445</v>
      </c>
    </row>
    <row r="51" customFormat="false" ht="27.75" hidden="false" customHeight="true" outlineLevel="0" collapsed="false">
      <c r="A51" s="14" t="s">
        <v>446</v>
      </c>
      <c r="B51" s="14" t="s">
        <v>139</v>
      </c>
      <c r="C51" s="14" t="s">
        <v>447</v>
      </c>
      <c r="D51" s="14" t="s">
        <v>118</v>
      </c>
      <c r="E51" s="14" t="s">
        <v>18</v>
      </c>
      <c r="F51" s="16" t="s">
        <v>18</v>
      </c>
      <c r="G51" s="15"/>
      <c r="H51" s="15"/>
      <c r="I51" s="15"/>
      <c r="J51" s="15"/>
      <c r="K51" s="14"/>
      <c r="L51" s="14" t="s">
        <v>118</v>
      </c>
      <c r="M51" s="14" t="s">
        <v>118</v>
      </c>
      <c r="N51" s="14" t="s">
        <v>146</v>
      </c>
      <c r="O51" s="15"/>
      <c r="P51" s="14"/>
      <c r="Q51" s="15"/>
      <c r="R51" s="15"/>
      <c r="S51" s="14" t="s">
        <v>444</v>
      </c>
      <c r="T51" s="14" t="s">
        <v>445</v>
      </c>
    </row>
    <row r="52" customFormat="false" ht="27.75" hidden="false" customHeight="true" outlineLevel="0" collapsed="false">
      <c r="A52" s="10" t="s">
        <v>448</v>
      </c>
      <c r="B52" s="10" t="s">
        <v>139</v>
      </c>
      <c r="C52" s="10" t="s">
        <v>449</v>
      </c>
      <c r="D52" s="10" t="s">
        <v>118</v>
      </c>
      <c r="E52" s="10" t="s">
        <v>18</v>
      </c>
      <c r="F52" s="16" t="s">
        <v>18</v>
      </c>
      <c r="G52" s="15"/>
      <c r="H52" s="15"/>
      <c r="I52" s="15"/>
      <c r="J52" s="15"/>
      <c r="K52" s="10"/>
      <c r="L52" s="10" t="s">
        <v>118</v>
      </c>
      <c r="M52" s="10" t="s">
        <v>118</v>
      </c>
      <c r="N52" s="10" t="s">
        <v>146</v>
      </c>
      <c r="O52" s="15"/>
      <c r="P52" s="10"/>
      <c r="Q52" s="15"/>
      <c r="R52" s="15"/>
      <c r="S52" s="10" t="s">
        <v>444</v>
      </c>
      <c r="T52" s="10" t="s">
        <v>450</v>
      </c>
    </row>
  </sheetData>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3A99"/>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5" min="3" style="0" width="12"/>
    <col collapsed="false" customWidth="true" hidden="false" outlineLevel="0" max="6" min="6" style="0" width="22"/>
  </cols>
  <sheetData>
    <row r="1" customFormat="false" ht="30" hidden="false" customHeight="true" outlineLevel="0" collapsed="false">
      <c r="A1" s="1" t="s">
        <v>451</v>
      </c>
      <c r="B1" s="1"/>
      <c r="C1" s="1"/>
      <c r="D1" s="1"/>
      <c r="E1" s="1"/>
      <c r="F1" s="1"/>
    </row>
    <row r="2" customFormat="false" ht="18" hidden="false" customHeight="true" outlineLevel="0" collapsed="false">
      <c r="A2" s="2" t="s">
        <v>452</v>
      </c>
      <c r="B2" s="2"/>
      <c r="C2" s="2"/>
      <c r="D2" s="2"/>
      <c r="E2" s="2"/>
      <c r="F2" s="2"/>
    </row>
    <row r="3" customFormat="false" ht="25.5" hidden="false" customHeight="true" outlineLevel="0" collapsed="false">
      <c r="A3" s="5" t="s">
        <v>453</v>
      </c>
      <c r="B3" s="5" t="s">
        <v>454</v>
      </c>
      <c r="C3" s="5" t="s">
        <v>455</v>
      </c>
      <c r="D3" s="5" t="s">
        <v>456</v>
      </c>
      <c r="E3" s="5" t="s">
        <v>457</v>
      </c>
      <c r="F3" s="5" t="s">
        <v>458</v>
      </c>
    </row>
    <row r="4" customFormat="false" ht="23.85" hidden="false" customHeight="false" outlineLevel="0" collapsed="false">
      <c r="A4" s="17" t="s">
        <v>459</v>
      </c>
      <c r="B4" s="18" t="s">
        <v>460</v>
      </c>
      <c r="C4" s="18" t="s">
        <v>461</v>
      </c>
      <c r="D4" s="18" t="s">
        <v>462</v>
      </c>
      <c r="E4" s="18" t="s">
        <v>463</v>
      </c>
      <c r="F4" s="19" t="s">
        <v>464</v>
      </c>
    </row>
    <row r="5" customFormat="false" ht="24" hidden="false" customHeight="true" outlineLevel="0" collapsed="false">
      <c r="A5" s="20" t="s">
        <v>465</v>
      </c>
      <c r="B5" s="21"/>
      <c r="C5" s="21"/>
      <c r="D5" s="21"/>
      <c r="E5" s="21"/>
      <c r="F5" s="10" t="s">
        <v>466</v>
      </c>
    </row>
    <row r="6" customFormat="false" ht="24" hidden="false" customHeight="true" outlineLevel="0" collapsed="false">
      <c r="A6" s="22" t="s">
        <v>467</v>
      </c>
      <c r="B6" s="21"/>
      <c r="C6" s="21"/>
      <c r="D6" s="21"/>
      <c r="E6" s="21"/>
      <c r="F6" s="14" t="s">
        <v>466</v>
      </c>
    </row>
    <row r="7" customFormat="false" ht="24" hidden="false" customHeight="true" outlineLevel="0" collapsed="false">
      <c r="A7" s="20" t="s">
        <v>468</v>
      </c>
      <c r="B7" s="21"/>
      <c r="C7" s="21"/>
      <c r="D7" s="21"/>
      <c r="E7" s="21"/>
      <c r="F7" s="10" t="s">
        <v>464</v>
      </c>
    </row>
    <row r="8" customFormat="false" ht="24" hidden="false" customHeight="true" outlineLevel="0" collapsed="false">
      <c r="A8" s="22" t="s">
        <v>469</v>
      </c>
      <c r="B8" s="21"/>
      <c r="C8" s="21"/>
      <c r="D8" s="21"/>
      <c r="E8" s="21"/>
      <c r="F8" s="14" t="s">
        <v>464</v>
      </c>
    </row>
    <row r="9" customFormat="false" ht="24" hidden="false" customHeight="true" outlineLevel="0" collapsed="false">
      <c r="A9" s="20" t="s">
        <v>470</v>
      </c>
      <c r="B9" s="21"/>
      <c r="C9" s="21"/>
      <c r="D9" s="21"/>
      <c r="E9" s="21"/>
      <c r="F9" s="10" t="s">
        <v>464</v>
      </c>
    </row>
    <row r="10" customFormat="false" ht="24" hidden="false" customHeight="true" outlineLevel="0" collapsed="false">
      <c r="A10" s="22" t="s">
        <v>471</v>
      </c>
      <c r="B10" s="21"/>
      <c r="C10" s="21"/>
      <c r="D10" s="21"/>
      <c r="E10" s="21"/>
      <c r="F10" s="14" t="s">
        <v>472</v>
      </c>
    </row>
    <row r="11" customFormat="false" ht="24" hidden="false" customHeight="true" outlineLevel="0" collapsed="false">
      <c r="A11" s="20" t="s">
        <v>473</v>
      </c>
      <c r="B11" s="21"/>
      <c r="C11" s="21"/>
      <c r="D11" s="21"/>
      <c r="E11" s="21"/>
      <c r="F11" s="10" t="s">
        <v>474</v>
      </c>
    </row>
    <row r="12" customFormat="false" ht="24" hidden="false" customHeight="true" outlineLevel="0" collapsed="false">
      <c r="A12" s="22" t="s">
        <v>475</v>
      </c>
      <c r="B12" s="21"/>
      <c r="C12" s="21"/>
      <c r="D12" s="21"/>
      <c r="E12" s="21"/>
      <c r="F12" s="14" t="s">
        <v>476</v>
      </c>
    </row>
    <row r="13" customFormat="false" ht="24" hidden="false" customHeight="true" outlineLevel="0" collapsed="false">
      <c r="A13" s="20" t="s">
        <v>477</v>
      </c>
      <c r="B13" s="21"/>
      <c r="C13" s="21"/>
      <c r="D13" s="21"/>
      <c r="E13" s="21"/>
      <c r="F13" s="10" t="s">
        <v>478</v>
      </c>
    </row>
    <row r="14" customFormat="false" ht="24" hidden="false" customHeight="true" outlineLevel="0" collapsed="false">
      <c r="A14" s="22" t="s">
        <v>479</v>
      </c>
      <c r="B14" s="21"/>
      <c r="C14" s="21"/>
      <c r="D14" s="21"/>
      <c r="E14" s="21"/>
      <c r="F14" s="14" t="s">
        <v>480</v>
      </c>
    </row>
    <row r="15" customFormat="false" ht="24" hidden="false" customHeight="true" outlineLevel="0" collapsed="false">
      <c r="A15" s="20" t="s">
        <v>481</v>
      </c>
      <c r="B15" s="21"/>
      <c r="C15" s="21"/>
      <c r="D15" s="21"/>
      <c r="E15" s="21"/>
      <c r="F15" s="10" t="s">
        <v>482</v>
      </c>
    </row>
    <row r="17" customFormat="false" ht="15" hidden="false" customHeight="false" outlineLevel="0" collapsed="false">
      <c r="A17" s="3" t="s">
        <v>483</v>
      </c>
    </row>
    <row r="18" customFormat="false" ht="24" hidden="false" customHeight="true" outlineLevel="0" collapsed="false">
      <c r="A18" s="4" t="s">
        <v>484</v>
      </c>
      <c r="B18" s="4"/>
      <c r="C18" s="4"/>
      <c r="D18" s="4"/>
      <c r="E18" s="4"/>
      <c r="F18" s="4"/>
    </row>
    <row r="19" customFormat="false" ht="24" hidden="false" customHeight="true" outlineLevel="0" collapsed="false">
      <c r="A19" s="4" t="s">
        <v>485</v>
      </c>
      <c r="B19" s="4"/>
      <c r="C19" s="4"/>
      <c r="D19" s="4"/>
      <c r="E19" s="4"/>
      <c r="F19" s="4"/>
    </row>
    <row r="20" customFormat="false" ht="24" hidden="false" customHeight="true" outlineLevel="0" collapsed="false">
      <c r="A20" s="4" t="s">
        <v>486</v>
      </c>
      <c r="B20" s="4"/>
      <c r="C20" s="4"/>
      <c r="D20" s="4"/>
      <c r="E20" s="4"/>
      <c r="F20" s="4"/>
    </row>
    <row r="21" customFormat="false" ht="24" hidden="false" customHeight="true" outlineLevel="0" collapsed="false">
      <c r="A21" s="4" t="s">
        <v>487</v>
      </c>
      <c r="B21" s="4"/>
      <c r="C21" s="4"/>
      <c r="D21" s="4"/>
      <c r="E21" s="4"/>
      <c r="F21" s="4"/>
    </row>
    <row r="22" customFormat="false" ht="24" hidden="false" customHeight="true" outlineLevel="0" collapsed="false">
      <c r="A22" s="4" t="s">
        <v>488</v>
      </c>
      <c r="B22" s="4"/>
      <c r="C22" s="4"/>
      <c r="D22" s="4"/>
      <c r="E22" s="4"/>
      <c r="F22" s="4"/>
    </row>
  </sheetData>
  <mergeCells count="7">
    <mergeCell ref="A1:F1"/>
    <mergeCell ref="A2:F2"/>
    <mergeCell ref="A18:F18"/>
    <mergeCell ref="A19:F19"/>
    <mergeCell ref="A20:F20"/>
    <mergeCell ref="A21:F2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3A99"/>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8"/>
    <col collapsed="false" customWidth="true" hidden="false" outlineLevel="0" max="4" min="4" style="0" width="22"/>
  </cols>
  <sheetData>
    <row r="1" customFormat="false" ht="30" hidden="false" customHeight="true" outlineLevel="0" collapsed="false">
      <c r="A1" s="1" t="s">
        <v>489</v>
      </c>
      <c r="B1" s="1"/>
      <c r="C1" s="1"/>
      <c r="D1" s="1"/>
    </row>
    <row r="2" customFormat="false" ht="18" hidden="false" customHeight="true" outlineLevel="0" collapsed="false">
      <c r="A2" s="2" t="s">
        <v>490</v>
      </c>
      <c r="B2" s="2"/>
      <c r="C2" s="2"/>
      <c r="D2" s="2"/>
    </row>
    <row r="3" customFormat="false" ht="25.5" hidden="false" customHeight="true" outlineLevel="0" collapsed="false">
      <c r="A3" s="5" t="s">
        <v>491</v>
      </c>
      <c r="B3" s="5" t="s">
        <v>492</v>
      </c>
      <c r="C3" s="5" t="s">
        <v>468</v>
      </c>
      <c r="D3" s="5" t="s">
        <v>493</v>
      </c>
    </row>
    <row r="4" customFormat="false" ht="21.75" hidden="false" customHeight="true" outlineLevel="0" collapsed="false">
      <c r="A4" s="6" t="s">
        <v>494</v>
      </c>
      <c r="B4" s="21"/>
      <c r="C4" s="21"/>
      <c r="D4" s="23" t="s">
        <v>495</v>
      </c>
    </row>
    <row r="5" customFormat="false" ht="21.75" hidden="false" customHeight="true" outlineLevel="0" collapsed="false">
      <c r="A5" s="24" t="s">
        <v>496</v>
      </c>
      <c r="B5" s="21"/>
      <c r="C5" s="21"/>
      <c r="D5" s="21"/>
    </row>
    <row r="6" customFormat="false" ht="21.75" hidden="false" customHeight="true" outlineLevel="0" collapsed="false">
      <c r="A6" s="6" t="s">
        <v>497</v>
      </c>
      <c r="B6" s="21"/>
      <c r="C6" s="21"/>
      <c r="D6" s="21"/>
    </row>
    <row r="7" customFormat="false" ht="21.75" hidden="false" customHeight="true" outlineLevel="0" collapsed="false">
      <c r="A7" s="24" t="s">
        <v>498</v>
      </c>
      <c r="B7" s="21"/>
      <c r="C7" s="21"/>
      <c r="D7" s="21"/>
    </row>
    <row r="8" customFormat="false" ht="21.75" hidden="false" customHeight="true" outlineLevel="0" collapsed="false">
      <c r="A8" s="6" t="s">
        <v>499</v>
      </c>
      <c r="B8" s="21"/>
      <c r="C8" s="21"/>
      <c r="D8" s="21"/>
    </row>
    <row r="9" customFormat="false" ht="21.75" hidden="false" customHeight="true" outlineLevel="0" collapsed="false">
      <c r="A9" s="24" t="s">
        <v>500</v>
      </c>
      <c r="B9" s="21"/>
      <c r="C9" s="21"/>
      <c r="D9" s="21"/>
    </row>
    <row r="10" customFormat="false" ht="21.75" hidden="false" customHeight="true" outlineLevel="0" collapsed="false">
      <c r="A10" s="6" t="s">
        <v>501</v>
      </c>
      <c r="B10" s="21"/>
      <c r="C10" s="21"/>
      <c r="D10" s="21"/>
    </row>
    <row r="12" customFormat="false" ht="39.75" hidden="false" customHeight="true" outlineLevel="0" collapsed="false">
      <c r="A12" s="25" t="s">
        <v>502</v>
      </c>
      <c r="B12" s="25"/>
      <c r="C12" s="25"/>
      <c r="D12" s="25"/>
    </row>
  </sheetData>
  <mergeCells count="3">
    <mergeCell ref="A1:D1"/>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3A99"/>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34"/>
  </cols>
  <sheetData>
    <row r="1" customFormat="false" ht="30" hidden="false" customHeight="true" outlineLevel="0" collapsed="false">
      <c r="A1" s="1" t="s">
        <v>503</v>
      </c>
      <c r="B1" s="1"/>
      <c r="C1" s="1"/>
      <c r="D1" s="1"/>
      <c r="E1" s="1"/>
      <c r="F1" s="1"/>
    </row>
    <row r="2" customFormat="false" ht="18" hidden="false" customHeight="true" outlineLevel="0" collapsed="false">
      <c r="A2" s="2" t="s">
        <v>504</v>
      </c>
      <c r="B2" s="2"/>
      <c r="C2" s="2"/>
      <c r="D2" s="2"/>
      <c r="E2" s="2"/>
      <c r="F2" s="2"/>
    </row>
    <row r="3" customFormat="false" ht="25.5" hidden="false" customHeight="true" outlineLevel="0" collapsed="false">
      <c r="A3" s="5" t="s">
        <v>505</v>
      </c>
      <c r="B3" s="5" t="s">
        <v>506</v>
      </c>
      <c r="C3" s="5" t="s">
        <v>507</v>
      </c>
      <c r="D3" s="5" t="s">
        <v>99</v>
      </c>
      <c r="E3" s="5" t="s">
        <v>508</v>
      </c>
      <c r="F3" s="5" t="s">
        <v>509</v>
      </c>
    </row>
    <row r="4" customFormat="false" ht="25.5" hidden="false" customHeight="true" outlineLevel="0" collapsed="false">
      <c r="A4" s="20" t="s">
        <v>510</v>
      </c>
      <c r="B4" s="10" t="s">
        <v>511</v>
      </c>
      <c r="C4" s="21"/>
      <c r="D4" s="21"/>
      <c r="E4" s="21"/>
      <c r="F4" s="26"/>
    </row>
    <row r="5" customFormat="false" ht="25.5" hidden="false" customHeight="true" outlineLevel="0" collapsed="false">
      <c r="A5" s="22" t="s">
        <v>512</v>
      </c>
      <c r="B5" s="14" t="s">
        <v>513</v>
      </c>
      <c r="C5" s="21"/>
      <c r="D5" s="21"/>
      <c r="E5" s="21"/>
      <c r="F5" s="26"/>
    </row>
    <row r="6" customFormat="false" ht="25.5" hidden="false" customHeight="true" outlineLevel="0" collapsed="false">
      <c r="A6" s="20" t="s">
        <v>514</v>
      </c>
      <c r="B6" s="10" t="s">
        <v>515</v>
      </c>
      <c r="C6" s="21"/>
      <c r="D6" s="21"/>
      <c r="E6" s="21"/>
      <c r="F6" s="26"/>
    </row>
    <row r="7" customFormat="false" ht="25.5" hidden="false" customHeight="true" outlineLevel="0" collapsed="false">
      <c r="A7" s="22" t="s">
        <v>516</v>
      </c>
      <c r="B7" s="14" t="s">
        <v>517</v>
      </c>
      <c r="C7" s="21"/>
      <c r="D7" s="21"/>
      <c r="E7" s="21"/>
      <c r="F7" s="26"/>
    </row>
    <row r="8" customFormat="false" ht="25.5" hidden="false" customHeight="true" outlineLevel="0" collapsed="false">
      <c r="A8" s="20" t="s">
        <v>518</v>
      </c>
      <c r="B8" s="10" t="s">
        <v>519</v>
      </c>
      <c r="C8" s="21"/>
      <c r="D8" s="21"/>
      <c r="E8" s="21"/>
      <c r="F8" s="26"/>
    </row>
    <row r="9" customFormat="false" ht="25.5" hidden="false" customHeight="true" outlineLevel="0" collapsed="false">
      <c r="A9" s="22" t="s">
        <v>520</v>
      </c>
      <c r="B9" s="14" t="s">
        <v>521</v>
      </c>
      <c r="C9" s="21"/>
      <c r="D9" s="21"/>
      <c r="E9" s="21"/>
      <c r="F9" s="26"/>
    </row>
    <row r="10" customFormat="false" ht="25.5" hidden="false" customHeight="true" outlineLevel="0" collapsed="false">
      <c r="A10" s="20" t="s">
        <v>522</v>
      </c>
      <c r="B10" s="10" t="s">
        <v>523</v>
      </c>
      <c r="C10" s="21"/>
      <c r="D10" s="21"/>
      <c r="E10" s="21"/>
      <c r="F10" s="26"/>
    </row>
    <row r="11" customFormat="false" ht="25.5" hidden="false" customHeight="true" outlineLevel="0" collapsed="false">
      <c r="A11" s="22" t="s">
        <v>524</v>
      </c>
      <c r="B11" s="14" t="s">
        <v>525</v>
      </c>
      <c r="C11" s="21"/>
      <c r="D11" s="21"/>
      <c r="E11" s="21"/>
      <c r="F11" s="26"/>
    </row>
    <row r="12" customFormat="false" ht="25.5" hidden="false" customHeight="true" outlineLevel="0" collapsed="false">
      <c r="A12" s="20" t="s">
        <v>526</v>
      </c>
      <c r="B12" s="10" t="s">
        <v>527</v>
      </c>
      <c r="C12" s="21"/>
      <c r="D12" s="21"/>
      <c r="E12" s="21"/>
      <c r="F12" s="26"/>
    </row>
    <row r="14" customFormat="false" ht="15" hidden="false" customHeight="false" outlineLevel="0" collapsed="false">
      <c r="A14" s="3" t="s">
        <v>528</v>
      </c>
    </row>
    <row r="15" customFormat="false" ht="21.75" hidden="false" customHeight="true" outlineLevel="0" collapsed="false">
      <c r="A15" s="4" t="s">
        <v>529</v>
      </c>
      <c r="B15" s="4"/>
      <c r="C15" s="4"/>
      <c r="D15" s="4"/>
      <c r="E15" s="4"/>
      <c r="F15" s="4"/>
    </row>
    <row r="16" customFormat="false" ht="21.75" hidden="false" customHeight="true" outlineLevel="0" collapsed="false">
      <c r="A16" s="4" t="s">
        <v>530</v>
      </c>
      <c r="B16" s="4"/>
      <c r="C16" s="4"/>
      <c r="D16" s="4"/>
      <c r="E16" s="4"/>
      <c r="F16" s="4"/>
    </row>
    <row r="17" customFormat="false" ht="21.75" hidden="false" customHeight="true" outlineLevel="0" collapsed="false">
      <c r="A17" s="4" t="s">
        <v>531</v>
      </c>
      <c r="B17" s="4"/>
      <c r="C17" s="4"/>
      <c r="D17" s="4"/>
      <c r="E17" s="4"/>
      <c r="F17" s="4"/>
    </row>
    <row r="18" customFormat="false" ht="21.75" hidden="false" customHeight="true" outlineLevel="0" collapsed="false">
      <c r="A18" s="4" t="s">
        <v>532</v>
      </c>
      <c r="B18" s="4"/>
      <c r="C18" s="4"/>
      <c r="D18" s="4"/>
      <c r="E18" s="4"/>
      <c r="F18" s="4"/>
    </row>
    <row r="19" customFormat="false" ht="21.75" hidden="false" customHeight="true" outlineLevel="0" collapsed="false">
      <c r="A19" s="4" t="s">
        <v>533</v>
      </c>
      <c r="B19" s="4"/>
      <c r="C19" s="4"/>
      <c r="D19" s="4"/>
      <c r="E19" s="4"/>
      <c r="F19" s="4"/>
    </row>
  </sheetData>
  <mergeCells count="7">
    <mergeCell ref="A1:F1"/>
    <mergeCell ref="A2:F2"/>
    <mergeCell ref="A15:F15"/>
    <mergeCell ref="A16:F16"/>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4800"/>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8"/>
    <col collapsed="false" customWidth="true" hidden="false" outlineLevel="0" max="3" min="3" style="0" width="52"/>
  </cols>
  <sheetData>
    <row r="1" customFormat="false" ht="30" hidden="false" customHeight="true" outlineLevel="0" collapsed="false">
      <c r="A1" s="1" t="s">
        <v>534</v>
      </c>
      <c r="B1" s="1"/>
      <c r="C1" s="1"/>
    </row>
    <row r="2" customFormat="false" ht="18" hidden="false" customHeight="true" outlineLevel="0" collapsed="false">
      <c r="A2" s="2" t="s">
        <v>535</v>
      </c>
      <c r="B2" s="2"/>
      <c r="C2" s="2"/>
    </row>
    <row r="3" customFormat="false" ht="25.5" hidden="false" customHeight="true" outlineLevel="0" collapsed="false">
      <c r="A3" s="5" t="s">
        <v>536</v>
      </c>
      <c r="B3" s="5" t="s">
        <v>537</v>
      </c>
      <c r="C3" s="5" t="s">
        <v>538</v>
      </c>
    </row>
    <row r="4" customFormat="false" ht="120" hidden="false" customHeight="true" outlineLevel="0" collapsed="false">
      <c r="A4" s="27" t="s">
        <v>539</v>
      </c>
      <c r="B4" s="10" t="s">
        <v>540</v>
      </c>
      <c r="C4" s="10" t="s">
        <v>541</v>
      </c>
    </row>
    <row r="5" customFormat="false" ht="120" hidden="false" customHeight="true" outlineLevel="0" collapsed="false">
      <c r="A5" s="27" t="s">
        <v>542</v>
      </c>
      <c r="B5" s="10" t="s">
        <v>543</v>
      </c>
      <c r="C5" s="10" t="s">
        <v>544</v>
      </c>
    </row>
    <row r="6" customFormat="false" ht="120" hidden="false" customHeight="true" outlineLevel="0" collapsed="false">
      <c r="A6" s="27" t="s">
        <v>545</v>
      </c>
      <c r="B6" s="10" t="s">
        <v>546</v>
      </c>
      <c r="C6" s="10" t="s">
        <v>547</v>
      </c>
    </row>
    <row r="7" customFormat="false" ht="120" hidden="false" customHeight="true" outlineLevel="0" collapsed="false">
      <c r="A7" s="27" t="s">
        <v>548</v>
      </c>
      <c r="B7" s="10" t="s">
        <v>549</v>
      </c>
      <c r="C7" s="10" t="s">
        <v>550</v>
      </c>
    </row>
    <row r="8" customFormat="false" ht="120" hidden="false" customHeight="true" outlineLevel="0" collapsed="false">
      <c r="A8" s="27" t="s">
        <v>551</v>
      </c>
      <c r="B8" s="10" t="s">
        <v>552</v>
      </c>
      <c r="C8" s="10" t="s">
        <v>553</v>
      </c>
    </row>
    <row r="9" customFormat="false" ht="120" hidden="false" customHeight="true" outlineLevel="0" collapsed="false">
      <c r="A9" s="27" t="s">
        <v>554</v>
      </c>
      <c r="B9" s="10" t="s">
        <v>555</v>
      </c>
      <c r="C9" s="10" t="s">
        <v>556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3A5E"/>
    <pageSetUpPr fitToPage="false"/>
  </sheetPr>
  <dimension ref="A1:F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34"/>
  </cols>
  <sheetData>
    <row r="1" customFormat="false" ht="30" hidden="false" customHeight="true" outlineLevel="0" collapsed="false">
      <c r="A1" s="1" t="s">
        <v>557</v>
      </c>
      <c r="B1" s="1"/>
      <c r="C1" s="1"/>
      <c r="D1" s="1"/>
      <c r="E1" s="1"/>
      <c r="F1" s="1"/>
    </row>
    <row r="2" customFormat="false" ht="18" hidden="false" customHeight="true" outlineLevel="0" collapsed="false">
      <c r="A2" s="2" t="s">
        <v>558</v>
      </c>
      <c r="B2" s="2"/>
      <c r="C2" s="2"/>
      <c r="D2" s="2"/>
      <c r="E2" s="2"/>
      <c r="F2" s="2"/>
    </row>
    <row r="3" customFormat="false" ht="25.5" hidden="false" customHeight="true" outlineLevel="0" collapsed="false">
      <c r="A3" s="5" t="s">
        <v>559</v>
      </c>
      <c r="B3" s="5" t="s">
        <v>560</v>
      </c>
      <c r="C3" s="5" t="s">
        <v>95</v>
      </c>
      <c r="D3" s="5" t="s">
        <v>97</v>
      </c>
      <c r="E3" s="5" t="s">
        <v>561</v>
      </c>
      <c r="F3" s="5" t="s">
        <v>562</v>
      </c>
    </row>
    <row r="4" customFormat="false" ht="21.75" hidden="false" customHeight="true" outlineLevel="0" collapsed="false">
      <c r="A4" s="7" t="n">
        <v>0</v>
      </c>
      <c r="B4" s="10" t="s">
        <v>563</v>
      </c>
      <c r="C4" s="28" t="s">
        <v>114</v>
      </c>
      <c r="D4" s="7" t="s">
        <v>116</v>
      </c>
      <c r="E4" s="7" t="s">
        <v>564</v>
      </c>
      <c r="F4" s="10" t="s">
        <v>565</v>
      </c>
    </row>
    <row r="5" customFormat="false" ht="21.75" hidden="false" customHeight="true" outlineLevel="0" collapsed="false">
      <c r="A5" s="13" t="n">
        <v>1</v>
      </c>
      <c r="B5" s="14" t="s">
        <v>566</v>
      </c>
      <c r="C5" s="28" t="s">
        <v>114</v>
      </c>
      <c r="D5" s="13" t="s">
        <v>125</v>
      </c>
      <c r="E5" s="13" t="s">
        <v>564</v>
      </c>
      <c r="F5" s="14" t="s">
        <v>567</v>
      </c>
    </row>
    <row r="6" customFormat="false" ht="21.75" hidden="false" customHeight="true" outlineLevel="0" collapsed="false">
      <c r="A6" s="7" t="n">
        <v>2</v>
      </c>
      <c r="B6" s="10" t="s">
        <v>568</v>
      </c>
      <c r="C6" s="28" t="s">
        <v>114</v>
      </c>
      <c r="D6" s="7" t="s">
        <v>125</v>
      </c>
      <c r="E6" s="7" t="s">
        <v>569</v>
      </c>
      <c r="F6" s="10" t="s">
        <v>570</v>
      </c>
    </row>
    <row r="7" customFormat="false" ht="21.75" hidden="false" customHeight="true" outlineLevel="0" collapsed="false">
      <c r="A7" s="13" t="n">
        <v>3</v>
      </c>
      <c r="B7" s="14" t="s">
        <v>140</v>
      </c>
      <c r="C7" s="13" t="s">
        <v>139</v>
      </c>
      <c r="D7" s="13" t="s">
        <v>116</v>
      </c>
      <c r="E7" s="13" t="s">
        <v>564</v>
      </c>
      <c r="F7" s="14" t="s">
        <v>571</v>
      </c>
    </row>
    <row r="8" customFormat="false" ht="21.75" hidden="false" customHeight="true" outlineLevel="0" collapsed="false">
      <c r="A8" s="7" t="n">
        <v>4</v>
      </c>
      <c r="B8" s="10" t="s">
        <v>151</v>
      </c>
      <c r="C8" s="7" t="s">
        <v>139</v>
      </c>
      <c r="D8" s="7" t="s">
        <v>125</v>
      </c>
      <c r="E8" s="7" t="s">
        <v>569</v>
      </c>
      <c r="F8" s="10" t="s">
        <v>572</v>
      </c>
    </row>
    <row r="9" customFormat="false" ht="21.75" hidden="false" customHeight="true" outlineLevel="0" collapsed="false">
      <c r="A9" s="13" t="n">
        <v>5</v>
      </c>
      <c r="B9" s="14" t="s">
        <v>573</v>
      </c>
      <c r="C9" s="13" t="s">
        <v>139</v>
      </c>
      <c r="D9" s="13" t="s">
        <v>125</v>
      </c>
      <c r="E9" s="13" t="s">
        <v>574</v>
      </c>
      <c r="F9" s="14" t="s">
        <v>575</v>
      </c>
    </row>
    <row r="10" customFormat="false" ht="21.75" hidden="false" customHeight="true" outlineLevel="0" collapsed="false">
      <c r="A10" s="7" t="n">
        <v>6</v>
      </c>
      <c r="B10" s="10" t="s">
        <v>576</v>
      </c>
      <c r="C10" s="7" t="s">
        <v>139</v>
      </c>
      <c r="D10" s="7" t="s">
        <v>116</v>
      </c>
      <c r="E10" s="7" t="s">
        <v>577</v>
      </c>
      <c r="F10" s="10" t="s">
        <v>578</v>
      </c>
    </row>
    <row r="11" customFormat="false" ht="21.75" hidden="false" customHeight="true" outlineLevel="0" collapsed="false">
      <c r="A11" s="13" t="n">
        <v>7</v>
      </c>
      <c r="B11" s="14" t="s">
        <v>210</v>
      </c>
      <c r="C11" s="13" t="s">
        <v>139</v>
      </c>
      <c r="D11" s="13" t="s">
        <v>125</v>
      </c>
      <c r="E11" s="13" t="s">
        <v>564</v>
      </c>
      <c r="F11" s="14" t="s">
        <v>579</v>
      </c>
    </row>
    <row r="12" customFormat="false" ht="21.75" hidden="false" customHeight="true" outlineLevel="0" collapsed="false">
      <c r="A12" s="7" t="n">
        <v>8</v>
      </c>
      <c r="B12" s="10" t="s">
        <v>580</v>
      </c>
      <c r="C12" s="28" t="s">
        <v>114</v>
      </c>
      <c r="D12" s="7" t="s">
        <v>219</v>
      </c>
      <c r="E12" s="7" t="s">
        <v>581</v>
      </c>
      <c r="F12" s="10" t="s">
        <v>582</v>
      </c>
    </row>
    <row r="13" customFormat="false" ht="21.75" hidden="false" customHeight="true" outlineLevel="0" collapsed="false">
      <c r="A13" s="13" t="n">
        <v>9</v>
      </c>
      <c r="B13" s="14" t="s">
        <v>226</v>
      </c>
      <c r="C13" s="13" t="s">
        <v>139</v>
      </c>
      <c r="D13" s="13" t="s">
        <v>116</v>
      </c>
      <c r="E13" s="13" t="s">
        <v>564</v>
      </c>
      <c r="F13" s="14" t="s">
        <v>583</v>
      </c>
    </row>
    <row r="14" customFormat="false" ht="21.75" hidden="false" customHeight="true" outlineLevel="0" collapsed="false">
      <c r="A14" s="7" t="n">
        <v>10</v>
      </c>
      <c r="B14" s="10" t="s">
        <v>234</v>
      </c>
      <c r="C14" s="7" t="s">
        <v>139</v>
      </c>
      <c r="D14" s="7" t="s">
        <v>116</v>
      </c>
      <c r="E14" s="7" t="s">
        <v>564</v>
      </c>
      <c r="F14" s="10" t="s">
        <v>583</v>
      </c>
    </row>
    <row r="15" customFormat="false" ht="21.75" hidden="false" customHeight="true" outlineLevel="0" collapsed="false">
      <c r="A15" s="13" t="n">
        <v>11</v>
      </c>
      <c r="B15" s="14" t="s">
        <v>241</v>
      </c>
      <c r="C15" s="13" t="s">
        <v>139</v>
      </c>
      <c r="D15" s="13" t="s">
        <v>116</v>
      </c>
      <c r="E15" s="13" t="s">
        <v>564</v>
      </c>
      <c r="F15" s="14" t="s">
        <v>584</v>
      </c>
    </row>
    <row r="16" customFormat="false" ht="21.75" hidden="false" customHeight="true" outlineLevel="0" collapsed="false">
      <c r="A16" s="7" t="n">
        <v>12</v>
      </c>
      <c r="B16" s="10" t="s">
        <v>248</v>
      </c>
      <c r="C16" s="7" t="s">
        <v>139</v>
      </c>
      <c r="D16" s="7" t="s">
        <v>125</v>
      </c>
      <c r="E16" s="7" t="s">
        <v>574</v>
      </c>
      <c r="F16" s="10" t="s">
        <v>585</v>
      </c>
    </row>
    <row r="17" customFormat="false" ht="21.75" hidden="false" customHeight="true" outlineLevel="0" collapsed="false">
      <c r="A17" s="13" t="n">
        <v>13</v>
      </c>
      <c r="B17" s="14" t="s">
        <v>255</v>
      </c>
      <c r="C17" s="13" t="s">
        <v>139</v>
      </c>
      <c r="D17" s="13" t="s">
        <v>125</v>
      </c>
      <c r="E17" s="13" t="s">
        <v>564</v>
      </c>
      <c r="F17" s="14" t="s">
        <v>586</v>
      </c>
    </row>
    <row r="18" customFormat="false" ht="21.75" hidden="false" customHeight="true" outlineLevel="0" collapsed="false">
      <c r="A18" s="7" t="n">
        <v>14</v>
      </c>
      <c r="B18" s="10" t="s">
        <v>587</v>
      </c>
      <c r="C18" s="28" t="s">
        <v>114</v>
      </c>
      <c r="D18" s="7" t="s">
        <v>72</v>
      </c>
      <c r="E18" s="7" t="s">
        <v>581</v>
      </c>
      <c r="F18" s="10" t="s">
        <v>582</v>
      </c>
    </row>
    <row r="19" customFormat="false" ht="21.75" hidden="false" customHeight="true" outlineLevel="0" collapsed="false">
      <c r="A19" s="13" t="n">
        <v>15</v>
      </c>
      <c r="B19" s="14" t="s">
        <v>588</v>
      </c>
      <c r="C19" s="28" t="s">
        <v>114</v>
      </c>
      <c r="D19" s="13" t="s">
        <v>125</v>
      </c>
      <c r="E19" s="13" t="s">
        <v>569</v>
      </c>
      <c r="F19" s="14" t="s">
        <v>589</v>
      </c>
    </row>
    <row r="20" customFormat="false" ht="21.75" hidden="false" customHeight="true" outlineLevel="0" collapsed="false">
      <c r="A20" s="7" t="n">
        <v>16</v>
      </c>
      <c r="B20" s="10" t="s">
        <v>590</v>
      </c>
      <c r="C20" s="7" t="s">
        <v>139</v>
      </c>
      <c r="D20" s="7" t="s">
        <v>219</v>
      </c>
      <c r="E20" s="7" t="s">
        <v>591</v>
      </c>
      <c r="F20" s="10" t="s">
        <v>592</v>
      </c>
    </row>
    <row r="21" customFormat="false" ht="21.75" hidden="false" customHeight="true" outlineLevel="0" collapsed="false">
      <c r="A21" s="13" t="n">
        <v>17</v>
      </c>
      <c r="B21" s="14" t="s">
        <v>288</v>
      </c>
      <c r="C21" s="13" t="s">
        <v>139</v>
      </c>
      <c r="D21" s="13" t="s">
        <v>219</v>
      </c>
      <c r="E21" s="13" t="s">
        <v>593</v>
      </c>
      <c r="F21" s="14" t="s">
        <v>594</v>
      </c>
    </row>
    <row r="22" customFormat="false" ht="21.75" hidden="false" customHeight="true" outlineLevel="0" collapsed="false">
      <c r="A22" s="7" t="n">
        <v>18</v>
      </c>
      <c r="B22" s="10" t="s">
        <v>595</v>
      </c>
      <c r="C22" s="7" t="s">
        <v>139</v>
      </c>
      <c r="D22" s="7" t="s">
        <v>125</v>
      </c>
      <c r="E22" s="7" t="s">
        <v>564</v>
      </c>
      <c r="F22" s="10" t="s">
        <v>596</v>
      </c>
    </row>
    <row r="23" customFormat="false" ht="21.75" hidden="false" customHeight="true" outlineLevel="0" collapsed="false">
      <c r="A23" s="13" t="n">
        <v>19</v>
      </c>
      <c r="B23" s="14" t="s">
        <v>597</v>
      </c>
      <c r="C23" s="28" t="s">
        <v>114</v>
      </c>
      <c r="D23" s="13" t="s">
        <v>219</v>
      </c>
      <c r="E23" s="13" t="s">
        <v>581</v>
      </c>
      <c r="F23" s="14" t="s">
        <v>598</v>
      </c>
    </row>
    <row r="24" customFormat="false" ht="21.75" hidden="false" customHeight="true" outlineLevel="0" collapsed="false">
      <c r="A24" s="7" t="n">
        <v>20</v>
      </c>
      <c r="B24" s="10" t="s">
        <v>309</v>
      </c>
      <c r="C24" s="7" t="s">
        <v>139</v>
      </c>
      <c r="D24" s="7" t="s">
        <v>72</v>
      </c>
      <c r="E24" s="7" t="s">
        <v>599</v>
      </c>
      <c r="F24" s="10" t="s">
        <v>600</v>
      </c>
    </row>
    <row r="25" customFormat="false" ht="21.75" hidden="false" customHeight="true" outlineLevel="0" collapsed="false">
      <c r="A25" s="13" t="n">
        <v>21</v>
      </c>
      <c r="B25" s="14" t="s">
        <v>316</v>
      </c>
      <c r="C25" s="13" t="s">
        <v>139</v>
      </c>
      <c r="D25" s="13" t="s">
        <v>72</v>
      </c>
      <c r="E25" s="13" t="s">
        <v>574</v>
      </c>
      <c r="F25" s="14" t="s">
        <v>601</v>
      </c>
    </row>
    <row r="26" customFormat="false" ht="21.75" hidden="false" customHeight="true" outlineLevel="0" collapsed="false">
      <c r="A26" s="7" t="n">
        <v>22</v>
      </c>
      <c r="B26" s="10" t="s">
        <v>602</v>
      </c>
      <c r="C26" s="7" t="s">
        <v>139</v>
      </c>
      <c r="D26" s="7" t="s">
        <v>72</v>
      </c>
      <c r="E26" s="7" t="s">
        <v>574</v>
      </c>
      <c r="F26" s="10" t="s">
        <v>603</v>
      </c>
    </row>
    <row r="27" customFormat="false" ht="21.75" hidden="false" customHeight="true" outlineLevel="0" collapsed="false">
      <c r="A27" s="13" t="n">
        <v>23</v>
      </c>
      <c r="B27" s="14" t="s">
        <v>604</v>
      </c>
      <c r="C27" s="13" t="s">
        <v>139</v>
      </c>
      <c r="D27" s="13" t="s">
        <v>72</v>
      </c>
      <c r="E27" s="13" t="s">
        <v>574</v>
      </c>
      <c r="F27" s="14" t="s">
        <v>605</v>
      </c>
    </row>
    <row r="28" customFormat="false" ht="21.75" hidden="false" customHeight="true" outlineLevel="0" collapsed="false">
      <c r="A28" s="7" t="n">
        <v>24</v>
      </c>
      <c r="B28" s="10" t="s">
        <v>338</v>
      </c>
      <c r="C28" s="7" t="s">
        <v>139</v>
      </c>
      <c r="D28" s="7" t="s">
        <v>219</v>
      </c>
      <c r="E28" s="7" t="s">
        <v>593</v>
      </c>
      <c r="F28" s="10" t="s">
        <v>606</v>
      </c>
    </row>
    <row r="29" customFormat="false" ht="21.75" hidden="false" customHeight="true" outlineLevel="0" collapsed="false">
      <c r="A29" s="13" t="n">
        <v>25</v>
      </c>
      <c r="B29" s="14" t="s">
        <v>607</v>
      </c>
      <c r="C29" s="13" t="s">
        <v>139</v>
      </c>
      <c r="D29" s="13" t="s">
        <v>125</v>
      </c>
      <c r="E29" s="13" t="s">
        <v>569</v>
      </c>
      <c r="F29" s="14" t="s">
        <v>608</v>
      </c>
    </row>
    <row r="30" customFormat="false" ht="21.75" hidden="false" customHeight="true" outlineLevel="0" collapsed="false">
      <c r="A30" s="7" t="n">
        <v>26</v>
      </c>
      <c r="B30" s="10" t="s">
        <v>609</v>
      </c>
      <c r="C30" s="28" t="s">
        <v>114</v>
      </c>
      <c r="D30" s="7" t="s">
        <v>72</v>
      </c>
      <c r="E30" s="7" t="s">
        <v>610</v>
      </c>
      <c r="F30" s="10" t="s">
        <v>611</v>
      </c>
    </row>
    <row r="31" customFormat="false" ht="21.75" hidden="false" customHeight="true" outlineLevel="0" collapsed="false">
      <c r="A31" s="13" t="n">
        <v>27</v>
      </c>
      <c r="B31" s="14" t="s">
        <v>612</v>
      </c>
      <c r="C31" s="28" t="s">
        <v>114</v>
      </c>
      <c r="D31" s="13" t="s">
        <v>72</v>
      </c>
      <c r="E31" s="13" t="s">
        <v>613</v>
      </c>
      <c r="F31" s="14" t="s">
        <v>611</v>
      </c>
    </row>
    <row r="32" customFormat="false" ht="21.75" hidden="false" customHeight="true" outlineLevel="0" collapsed="false">
      <c r="A32" s="7" t="n">
        <v>28</v>
      </c>
      <c r="B32" s="10" t="s">
        <v>614</v>
      </c>
      <c r="C32" s="28" t="s">
        <v>114</v>
      </c>
      <c r="D32" s="7" t="s">
        <v>219</v>
      </c>
      <c r="E32" s="7" t="s">
        <v>569</v>
      </c>
      <c r="F32" s="10" t="s">
        <v>615</v>
      </c>
    </row>
    <row r="33" customFormat="false" ht="21.75" hidden="false" customHeight="true" outlineLevel="0" collapsed="false">
      <c r="A33" s="13" t="n">
        <v>29</v>
      </c>
      <c r="B33" s="14" t="s">
        <v>616</v>
      </c>
      <c r="C33" s="13" t="s">
        <v>139</v>
      </c>
      <c r="D33" s="13" t="s">
        <v>72</v>
      </c>
      <c r="E33" s="13" t="s">
        <v>617</v>
      </c>
      <c r="F33" s="14" t="s">
        <v>618</v>
      </c>
    </row>
    <row r="34" customFormat="false" ht="21.75" hidden="false" customHeight="true" outlineLevel="0" collapsed="false">
      <c r="A34" s="7" t="n">
        <v>30</v>
      </c>
      <c r="B34" s="10" t="s">
        <v>619</v>
      </c>
      <c r="C34" s="7" t="s">
        <v>139</v>
      </c>
      <c r="D34" s="7" t="s">
        <v>116</v>
      </c>
      <c r="E34" s="7" t="s">
        <v>564</v>
      </c>
      <c r="F34" s="10" t="s">
        <v>88</v>
      </c>
    </row>
    <row r="35" customFormat="false" ht="21.75" hidden="false" customHeight="true" outlineLevel="0" collapsed="false">
      <c r="A35" s="13" t="n">
        <v>31</v>
      </c>
      <c r="B35" s="14" t="s">
        <v>385</v>
      </c>
      <c r="C35" s="13" t="s">
        <v>139</v>
      </c>
      <c r="D35" s="13" t="s">
        <v>72</v>
      </c>
      <c r="E35" s="13" t="s">
        <v>620</v>
      </c>
      <c r="F35" s="14" t="s">
        <v>621</v>
      </c>
    </row>
    <row r="36" customFormat="false" ht="21.75" hidden="false" customHeight="true" outlineLevel="0" collapsed="false">
      <c r="A36" s="7" t="n">
        <v>32</v>
      </c>
      <c r="B36" s="10" t="s">
        <v>391</v>
      </c>
      <c r="C36" s="7" t="s">
        <v>139</v>
      </c>
      <c r="D36" s="7" t="s">
        <v>72</v>
      </c>
      <c r="E36" s="7" t="s">
        <v>620</v>
      </c>
      <c r="F36" s="10" t="s">
        <v>622</v>
      </c>
    </row>
    <row r="37" customFormat="false" ht="21.75" hidden="false" customHeight="true" outlineLevel="0" collapsed="false">
      <c r="A37" s="13" t="n">
        <v>33</v>
      </c>
      <c r="B37" s="14" t="s">
        <v>623</v>
      </c>
      <c r="C37" s="28" t="s">
        <v>114</v>
      </c>
      <c r="D37" s="13" t="s">
        <v>72</v>
      </c>
      <c r="E37" s="13" t="s">
        <v>624</v>
      </c>
      <c r="F37" s="14" t="s">
        <v>589</v>
      </c>
    </row>
    <row r="38" customFormat="false" ht="21.75" hidden="false" customHeight="true" outlineLevel="0" collapsed="false">
      <c r="A38" s="7" t="n">
        <v>34</v>
      </c>
      <c r="B38" s="10" t="s">
        <v>625</v>
      </c>
      <c r="C38" s="7" t="s">
        <v>139</v>
      </c>
      <c r="D38" s="7" t="s">
        <v>72</v>
      </c>
      <c r="E38" s="7" t="s">
        <v>626</v>
      </c>
      <c r="F38" s="10" t="s">
        <v>627</v>
      </c>
    </row>
    <row r="39" customFormat="false" ht="21.75" hidden="false" customHeight="true" outlineLevel="0" collapsed="false">
      <c r="A39" s="13" t="n">
        <v>35</v>
      </c>
      <c r="B39" s="14" t="s">
        <v>410</v>
      </c>
      <c r="C39" s="13" t="s">
        <v>139</v>
      </c>
      <c r="D39" s="13" t="s">
        <v>411</v>
      </c>
      <c r="E39" s="13" t="s">
        <v>628</v>
      </c>
      <c r="F39" s="14" t="s">
        <v>629</v>
      </c>
    </row>
    <row r="40" customFormat="false" ht="21.75" hidden="false" customHeight="true" outlineLevel="0" collapsed="false">
      <c r="A40" s="7" t="n">
        <v>36</v>
      </c>
      <c r="B40" s="10" t="s">
        <v>417</v>
      </c>
      <c r="C40" s="7" t="s">
        <v>139</v>
      </c>
      <c r="D40" s="7" t="s">
        <v>411</v>
      </c>
      <c r="E40" s="7" t="s">
        <v>630</v>
      </c>
      <c r="F40" s="10" t="s">
        <v>631</v>
      </c>
    </row>
    <row r="41" customFormat="false" ht="21.75" hidden="false" customHeight="true" outlineLevel="0" collapsed="false">
      <c r="A41" s="13" t="n">
        <v>37</v>
      </c>
      <c r="B41" s="14" t="s">
        <v>632</v>
      </c>
      <c r="C41" s="28" t="s">
        <v>114</v>
      </c>
      <c r="D41" s="13" t="s">
        <v>411</v>
      </c>
      <c r="E41" s="13" t="s">
        <v>633</v>
      </c>
      <c r="F41" s="14" t="s">
        <v>634</v>
      </c>
    </row>
    <row r="43" customFormat="false" ht="15" hidden="false" customHeight="false" outlineLevel="0" collapsed="false">
      <c r="A43" s="29" t="s">
        <v>635</v>
      </c>
      <c r="B43" s="29"/>
      <c r="C43" s="29"/>
      <c r="D43" s="29"/>
      <c r="E43" s="29"/>
      <c r="F43" s="29"/>
    </row>
    <row r="44" customFormat="false" ht="25.5" hidden="false" customHeight="true" outlineLevel="0" collapsed="false">
      <c r="A44" s="5" t="s">
        <v>636</v>
      </c>
      <c r="B44" s="5" t="s">
        <v>560</v>
      </c>
      <c r="C44" s="5" t="s">
        <v>637</v>
      </c>
      <c r="D44" s="5" t="s">
        <v>638</v>
      </c>
      <c r="E44" s="5"/>
      <c r="F44" s="5"/>
    </row>
    <row r="45" customFormat="false" ht="21.75" hidden="false" customHeight="true" outlineLevel="0" collapsed="false">
      <c r="A45" s="10" t="s">
        <v>639</v>
      </c>
      <c r="B45" s="10" t="s">
        <v>430</v>
      </c>
      <c r="C45" s="10" t="s">
        <v>640</v>
      </c>
      <c r="D45" s="10" t="s">
        <v>641</v>
      </c>
    </row>
    <row r="46" customFormat="false" ht="21.75" hidden="false" customHeight="true" outlineLevel="0" collapsed="false">
      <c r="A46" s="14" t="s">
        <v>642</v>
      </c>
      <c r="B46" s="14" t="s">
        <v>437</v>
      </c>
      <c r="C46" s="14" t="s">
        <v>440</v>
      </c>
      <c r="D46" s="14" t="s">
        <v>643</v>
      </c>
    </row>
    <row r="48" customFormat="false" ht="15" hidden="false" customHeight="true" outlineLevel="0" collapsed="false">
      <c r="A48" s="25" t="s">
        <v>644</v>
      </c>
      <c r="B48" s="25"/>
      <c r="C48" s="25"/>
      <c r="D48" s="25"/>
      <c r="E48" s="25"/>
      <c r="F48" s="25"/>
    </row>
  </sheetData>
  <mergeCells count="4">
    <mergeCell ref="A1:F1"/>
    <mergeCell ref="A2:F2"/>
    <mergeCell ref="A43:F43"/>
    <mergeCell ref="A48:F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3A5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60"/>
    <col collapsed="false" customWidth="true" hidden="false" outlineLevel="0" max="4" min="4" style="0" width="9"/>
    <col collapsed="false" customWidth="true" hidden="false" outlineLevel="0" max="5" min="5" style="0" width="16"/>
  </cols>
  <sheetData>
    <row r="1" customFormat="false" ht="30" hidden="false" customHeight="true" outlineLevel="0" collapsed="false">
      <c r="A1" s="1" t="s">
        <v>645</v>
      </c>
      <c r="B1" s="1"/>
      <c r="C1" s="1"/>
      <c r="D1" s="1"/>
      <c r="E1" s="1"/>
    </row>
    <row r="2" customFormat="false" ht="18" hidden="false" customHeight="true" outlineLevel="0" collapsed="false">
      <c r="A2" s="2" t="s">
        <v>646</v>
      </c>
      <c r="B2" s="2"/>
      <c r="C2" s="2"/>
      <c r="D2" s="2"/>
      <c r="E2" s="2"/>
    </row>
    <row r="3" customFormat="false" ht="25.5" hidden="false" customHeight="true" outlineLevel="0" collapsed="false">
      <c r="A3" s="5" t="s">
        <v>647</v>
      </c>
      <c r="B3" s="5" t="s">
        <v>648</v>
      </c>
      <c r="C3" s="5" t="s">
        <v>649</v>
      </c>
      <c r="D3" s="5" t="s">
        <v>650</v>
      </c>
      <c r="E3" s="5" t="s">
        <v>99</v>
      </c>
    </row>
    <row r="4" customFormat="false" ht="25.5" hidden="false" customHeight="true" outlineLevel="0" collapsed="false">
      <c r="A4" s="7" t="s">
        <v>126</v>
      </c>
      <c r="B4" s="10" t="s">
        <v>651</v>
      </c>
      <c r="C4" s="10" t="s">
        <v>652</v>
      </c>
      <c r="D4" s="7" t="s">
        <v>220</v>
      </c>
      <c r="E4" s="15"/>
    </row>
    <row r="5" customFormat="false" ht="25.5" hidden="false" customHeight="true" outlineLevel="0" collapsed="false">
      <c r="A5" s="13" t="s">
        <v>126</v>
      </c>
      <c r="B5" s="14" t="s">
        <v>653</v>
      </c>
      <c r="C5" s="14" t="s">
        <v>654</v>
      </c>
      <c r="D5" s="13" t="s">
        <v>126</v>
      </c>
      <c r="E5" s="15"/>
    </row>
    <row r="6" customFormat="false" ht="25.5" hidden="false" customHeight="true" outlineLevel="0" collapsed="false">
      <c r="A6" s="7" t="s">
        <v>133</v>
      </c>
      <c r="B6" s="10" t="s">
        <v>655</v>
      </c>
      <c r="C6" s="10" t="s">
        <v>656</v>
      </c>
      <c r="D6" s="7" t="s">
        <v>220</v>
      </c>
      <c r="E6" s="15"/>
    </row>
    <row r="7" customFormat="false" ht="25.5" hidden="false" customHeight="true" outlineLevel="0" collapsed="false">
      <c r="A7" s="13" t="s">
        <v>141</v>
      </c>
      <c r="B7" s="14" t="s">
        <v>657</v>
      </c>
      <c r="C7" s="14" t="s">
        <v>658</v>
      </c>
      <c r="D7" s="13" t="s">
        <v>211</v>
      </c>
      <c r="E7" s="15"/>
    </row>
    <row r="8" customFormat="false" ht="25.5" hidden="false" customHeight="true" outlineLevel="0" collapsed="false">
      <c r="A8" s="7" t="s">
        <v>152</v>
      </c>
      <c r="B8" s="10" t="s">
        <v>659</v>
      </c>
      <c r="C8" s="10" t="s">
        <v>660</v>
      </c>
      <c r="D8" s="7" t="s">
        <v>220</v>
      </c>
      <c r="E8" s="15"/>
    </row>
    <row r="9" customFormat="false" ht="25.5" hidden="false" customHeight="true" outlineLevel="0" collapsed="false">
      <c r="A9" s="13" t="s">
        <v>163</v>
      </c>
      <c r="B9" s="14" t="s">
        <v>661</v>
      </c>
      <c r="C9" s="14" t="s">
        <v>662</v>
      </c>
      <c r="D9" s="13" t="s">
        <v>220</v>
      </c>
      <c r="E9" s="15"/>
    </row>
    <row r="10" customFormat="false" ht="25.5" hidden="false" customHeight="true" outlineLevel="0" collapsed="false">
      <c r="A10" s="7" t="s">
        <v>181</v>
      </c>
      <c r="B10" s="10" t="s">
        <v>663</v>
      </c>
      <c r="C10" s="10" t="s">
        <v>664</v>
      </c>
      <c r="D10" s="7" t="s">
        <v>220</v>
      </c>
      <c r="E10" s="15"/>
    </row>
    <row r="11" customFormat="false" ht="25.5" hidden="false" customHeight="true" outlineLevel="0" collapsed="false">
      <c r="A11" s="13" t="s">
        <v>211</v>
      </c>
      <c r="B11" s="14" t="s">
        <v>665</v>
      </c>
      <c r="C11" s="14" t="s">
        <v>666</v>
      </c>
      <c r="D11" s="13" t="s">
        <v>220</v>
      </c>
      <c r="E11" s="15"/>
    </row>
    <row r="12" customFormat="false" ht="25.5" hidden="false" customHeight="true" outlineLevel="0" collapsed="false">
      <c r="A12" s="7" t="s">
        <v>220</v>
      </c>
      <c r="B12" s="10" t="s">
        <v>667</v>
      </c>
      <c r="C12" s="10" t="s">
        <v>668</v>
      </c>
      <c r="D12" s="7" t="s">
        <v>220</v>
      </c>
      <c r="E12" s="15"/>
    </row>
    <row r="13" customFormat="false" ht="25.5" hidden="false" customHeight="true" outlineLevel="0" collapsed="false">
      <c r="A13" s="13" t="s">
        <v>669</v>
      </c>
      <c r="B13" s="14" t="s">
        <v>670</v>
      </c>
      <c r="C13" s="14" t="s">
        <v>671</v>
      </c>
      <c r="D13" s="13" t="s">
        <v>392</v>
      </c>
      <c r="E13" s="15"/>
    </row>
    <row r="14" customFormat="false" ht="25.5" hidden="false" customHeight="true" outlineLevel="0" collapsed="false">
      <c r="A14" s="7" t="s">
        <v>672</v>
      </c>
      <c r="B14" s="10" t="s">
        <v>673</v>
      </c>
      <c r="C14" s="10" t="s">
        <v>674</v>
      </c>
      <c r="D14" s="7" t="s">
        <v>675</v>
      </c>
      <c r="E14" s="15"/>
    </row>
    <row r="16" customFormat="false" ht="15" hidden="false" customHeight="false" outlineLevel="0" collapsed="false">
      <c r="A16" s="29" t="s">
        <v>676</v>
      </c>
      <c r="B16" s="29"/>
      <c r="C16" s="29"/>
      <c r="D16" s="29"/>
      <c r="E16" s="29"/>
    </row>
    <row r="17" customFormat="false" ht="25.5" hidden="false" customHeight="true" outlineLevel="0" collapsed="false">
      <c r="A17" s="5" t="s">
        <v>677</v>
      </c>
      <c r="B17" s="5" t="s">
        <v>678</v>
      </c>
      <c r="C17" s="5"/>
      <c r="D17" s="5"/>
      <c r="E17" s="5"/>
    </row>
    <row r="18" customFormat="false" ht="21.75" hidden="false" customHeight="true" outlineLevel="0" collapsed="false">
      <c r="A18" s="10" t="s">
        <v>679</v>
      </c>
      <c r="B18" s="10" t="s">
        <v>680</v>
      </c>
      <c r="C18" s="10"/>
      <c r="D18" s="10"/>
      <c r="E18" s="10"/>
    </row>
    <row r="19" customFormat="false" ht="21.75" hidden="false" customHeight="true" outlineLevel="0" collapsed="false">
      <c r="A19" s="10" t="s">
        <v>681</v>
      </c>
      <c r="B19" s="10" t="s">
        <v>682</v>
      </c>
      <c r="C19" s="10"/>
      <c r="D19" s="10"/>
      <c r="E19" s="10"/>
    </row>
    <row r="20" customFormat="false" ht="21.75" hidden="false" customHeight="true" outlineLevel="0" collapsed="false">
      <c r="A20" s="10" t="s">
        <v>683</v>
      </c>
      <c r="B20" s="10" t="s">
        <v>680</v>
      </c>
      <c r="C20" s="10"/>
      <c r="D20" s="10"/>
      <c r="E20" s="10"/>
    </row>
    <row r="21" customFormat="false" ht="21.75" hidden="false" customHeight="true" outlineLevel="0" collapsed="false">
      <c r="A21" s="10" t="s">
        <v>684</v>
      </c>
      <c r="B21" s="10" t="s">
        <v>685</v>
      </c>
      <c r="C21" s="10"/>
      <c r="D21" s="10"/>
      <c r="E21" s="10"/>
    </row>
    <row r="22" customFormat="false" ht="21.75" hidden="false" customHeight="true" outlineLevel="0" collapsed="false">
      <c r="A22" s="10" t="s">
        <v>686</v>
      </c>
      <c r="B22" s="10" t="s">
        <v>687</v>
      </c>
      <c r="C22" s="10"/>
      <c r="D22" s="10"/>
      <c r="E22" s="10"/>
    </row>
    <row r="23" customFormat="false" ht="21.75" hidden="false" customHeight="true" outlineLevel="0" collapsed="false">
      <c r="A23" s="30" t="s">
        <v>688</v>
      </c>
      <c r="B23" s="31" t="s">
        <v>689</v>
      </c>
      <c r="C23" s="31"/>
      <c r="D23" s="31"/>
      <c r="E23" s="31"/>
    </row>
    <row r="25" customFormat="false" ht="15" hidden="false" customHeight="false" outlineLevel="0" collapsed="false">
      <c r="A25" s="29" t="s">
        <v>690</v>
      </c>
      <c r="B25" s="29"/>
      <c r="C25" s="29"/>
      <c r="D25" s="29"/>
      <c r="E25" s="29"/>
    </row>
    <row r="26" customFormat="false" ht="25.5" hidden="false" customHeight="true" outlineLevel="0" collapsed="false">
      <c r="A26" s="5" t="s">
        <v>691</v>
      </c>
      <c r="B26" s="5" t="s">
        <v>692</v>
      </c>
      <c r="C26" s="5" t="s">
        <v>693</v>
      </c>
      <c r="D26" s="5"/>
      <c r="E26" s="5"/>
    </row>
    <row r="27" customFormat="false" ht="24" hidden="false" customHeight="true" outlineLevel="0" collapsed="false">
      <c r="A27" s="32" t="s">
        <v>694</v>
      </c>
      <c r="B27" s="10" t="s">
        <v>695</v>
      </c>
      <c r="C27" s="10" t="s">
        <v>696</v>
      </c>
      <c r="D27" s="10"/>
      <c r="E27" s="10"/>
    </row>
    <row r="28" customFormat="false" ht="24" hidden="false" customHeight="true" outlineLevel="0" collapsed="false">
      <c r="A28" s="33" t="s">
        <v>697</v>
      </c>
      <c r="B28" s="14" t="s">
        <v>698</v>
      </c>
      <c r="C28" s="14" t="s">
        <v>699</v>
      </c>
      <c r="D28" s="14"/>
      <c r="E28" s="14"/>
    </row>
    <row r="29" customFormat="false" ht="24" hidden="false" customHeight="true" outlineLevel="0" collapsed="false">
      <c r="A29" s="32" t="s">
        <v>700</v>
      </c>
      <c r="B29" s="10" t="s">
        <v>701</v>
      </c>
      <c r="C29" s="10" t="s">
        <v>702</v>
      </c>
      <c r="D29" s="10"/>
      <c r="E29" s="10"/>
    </row>
    <row r="30" customFormat="false" ht="24" hidden="false" customHeight="true" outlineLevel="0" collapsed="false">
      <c r="A30" s="33" t="s">
        <v>703</v>
      </c>
      <c r="B30" s="14" t="s">
        <v>457</v>
      </c>
      <c r="C30" s="14" t="s">
        <v>704</v>
      </c>
      <c r="D30" s="14"/>
      <c r="E30" s="14"/>
    </row>
    <row r="32" customFormat="false" ht="15" hidden="false" customHeight="true" outlineLevel="0" collapsed="false">
      <c r="A32" s="25" t="s">
        <v>705</v>
      </c>
      <c r="B32" s="25"/>
      <c r="C32" s="25"/>
      <c r="D32" s="25"/>
      <c r="E32" s="25"/>
    </row>
  </sheetData>
  <mergeCells count="15">
    <mergeCell ref="A1:E1"/>
    <mergeCell ref="A2:E2"/>
    <mergeCell ref="A16:E16"/>
    <mergeCell ref="B18:E18"/>
    <mergeCell ref="B19:E19"/>
    <mergeCell ref="B20:E20"/>
    <mergeCell ref="B21:E21"/>
    <mergeCell ref="B22:E22"/>
    <mergeCell ref="B23:E23"/>
    <mergeCell ref="A25:E25"/>
    <mergeCell ref="C27:E27"/>
    <mergeCell ref="C28:E28"/>
    <mergeCell ref="C29:E29"/>
    <mergeCell ref="C30:E30"/>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4800"/>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30" hidden="false" customHeight="true" outlineLevel="0" collapsed="false">
      <c r="A1" s="1" t="s">
        <v>706</v>
      </c>
      <c r="B1" s="1"/>
    </row>
    <row r="2" customFormat="false" ht="18" hidden="false" customHeight="true" outlineLevel="0" collapsed="false">
      <c r="A2" s="2" t="s">
        <v>707</v>
      </c>
      <c r="B2" s="2"/>
    </row>
    <row r="3" customFormat="false" ht="30" hidden="false" customHeight="true" outlineLevel="0" collapsed="false">
      <c r="A3" s="34" t="s">
        <v>708</v>
      </c>
      <c r="B3" s="34"/>
    </row>
    <row r="5" customFormat="false" ht="25.5" hidden="false" customHeight="true" outlineLevel="0" collapsed="false">
      <c r="A5" s="5" t="s">
        <v>72</v>
      </c>
      <c r="B5" s="5" t="s">
        <v>709</v>
      </c>
    </row>
    <row r="6" customFormat="false" ht="21.75" hidden="false" customHeight="true" outlineLevel="0" collapsed="false">
      <c r="A6" s="35" t="s">
        <v>710</v>
      </c>
      <c r="B6" s="10" t="s">
        <v>711</v>
      </c>
    </row>
    <row r="7" customFormat="false" ht="21.75" hidden="false" customHeight="true" outlineLevel="0" collapsed="false">
      <c r="A7" s="36" t="s">
        <v>712</v>
      </c>
      <c r="B7" s="14" t="s">
        <v>713</v>
      </c>
    </row>
    <row r="8" customFormat="false" ht="21.75" hidden="false" customHeight="true" outlineLevel="0" collapsed="false">
      <c r="A8" s="35" t="s">
        <v>714</v>
      </c>
      <c r="B8" s="10" t="s">
        <v>715</v>
      </c>
    </row>
    <row r="9" customFormat="false" ht="21.75" hidden="false" customHeight="true" outlineLevel="0" collapsed="false">
      <c r="A9" s="36" t="s">
        <v>716</v>
      </c>
      <c r="B9" s="14" t="s">
        <v>717</v>
      </c>
    </row>
    <row r="10" customFormat="false" ht="21.75" hidden="false" customHeight="true" outlineLevel="0" collapsed="false">
      <c r="A10" s="35" t="s">
        <v>718</v>
      </c>
      <c r="B10" s="10" t="s">
        <v>719</v>
      </c>
    </row>
    <row r="11" customFormat="false" ht="21.75" hidden="false" customHeight="true" outlineLevel="0" collapsed="false">
      <c r="A11" s="36" t="s">
        <v>720</v>
      </c>
      <c r="B11" s="14" t="s">
        <v>721</v>
      </c>
    </row>
    <row r="13" customFormat="false" ht="15" hidden="false" customHeight="false" outlineLevel="0" collapsed="false">
      <c r="A13" s="3" t="s">
        <v>722</v>
      </c>
    </row>
    <row r="14" customFormat="false" ht="25.5" hidden="false" customHeight="true" outlineLevel="0" collapsed="false">
      <c r="A14" s="37" t="s">
        <v>723</v>
      </c>
      <c r="B14" s="37"/>
    </row>
    <row r="15" customFormat="false" ht="25.5" hidden="false" customHeight="true" outlineLevel="0" collapsed="false">
      <c r="A15" s="37" t="s">
        <v>724</v>
      </c>
      <c r="B15" s="37"/>
    </row>
    <row r="16" customFormat="false" ht="25.5" hidden="false" customHeight="true" outlineLevel="0" collapsed="false">
      <c r="A16" s="37" t="s">
        <v>725</v>
      </c>
      <c r="B16" s="37"/>
    </row>
    <row r="18" customFormat="false" ht="15" hidden="false" customHeight="false" outlineLevel="0" collapsed="false">
      <c r="A18" s="3" t="s">
        <v>528</v>
      </c>
    </row>
    <row r="19" customFormat="false" ht="24" hidden="false" customHeight="true" outlineLevel="0" collapsed="false">
      <c r="A19" s="4" t="s">
        <v>726</v>
      </c>
      <c r="B19" s="4"/>
    </row>
    <row r="20" customFormat="false" ht="24" hidden="false" customHeight="true" outlineLevel="0" collapsed="false">
      <c r="A20" s="4" t="s">
        <v>727</v>
      </c>
      <c r="B20" s="4"/>
    </row>
    <row r="21" customFormat="false" ht="24" hidden="false" customHeight="true" outlineLevel="0" collapsed="false">
      <c r="A21" s="4" t="s">
        <v>728</v>
      </c>
      <c r="B21" s="4"/>
    </row>
  </sheetData>
  <mergeCells count="9">
    <mergeCell ref="A1:B1"/>
    <mergeCell ref="A2:B2"/>
    <mergeCell ref="A3:B3"/>
    <mergeCell ref="A14:B14"/>
    <mergeCell ref="A15:B15"/>
    <mergeCell ref="A16:B16"/>
    <mergeCell ref="A19:B19"/>
    <mergeCell ref="A20:B20"/>
    <mergeCell ref="A21:B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2440C"/>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0"/>
  </cols>
  <sheetData>
    <row r="1" customFormat="false" ht="30" hidden="false" customHeight="true" outlineLevel="0" collapsed="false">
      <c r="A1" s="1" t="s">
        <v>729</v>
      </c>
      <c r="B1" s="1"/>
    </row>
    <row r="2" customFormat="false" ht="18" hidden="false" customHeight="true" outlineLevel="0" collapsed="false">
      <c r="A2" s="2" t="s">
        <v>730</v>
      </c>
      <c r="B2" s="2"/>
    </row>
    <row r="3" customFormat="false" ht="25.5" hidden="false" customHeight="true" outlineLevel="0" collapsed="false">
      <c r="A3" s="5" t="s">
        <v>56</v>
      </c>
      <c r="B3" s="5" t="s">
        <v>731</v>
      </c>
    </row>
    <row r="4" customFormat="false" ht="31.5" hidden="false" customHeight="true" outlineLevel="0" collapsed="false">
      <c r="A4" s="12" t="n">
        <v>1</v>
      </c>
      <c r="B4" s="10" t="s">
        <v>732</v>
      </c>
    </row>
    <row r="5" customFormat="false" ht="31.5" hidden="false" customHeight="true" outlineLevel="0" collapsed="false">
      <c r="A5" s="12" t="n">
        <v>2</v>
      </c>
      <c r="B5" s="14" t="s">
        <v>733</v>
      </c>
    </row>
    <row r="6" customFormat="false" ht="31.5" hidden="false" customHeight="true" outlineLevel="0" collapsed="false">
      <c r="A6" s="12" t="n">
        <v>3</v>
      </c>
      <c r="B6" s="10" t="s">
        <v>734</v>
      </c>
    </row>
    <row r="7" customFormat="false" ht="31.5" hidden="false" customHeight="true" outlineLevel="0" collapsed="false">
      <c r="A7" s="12" t="n">
        <v>4</v>
      </c>
      <c r="B7" s="14" t="s">
        <v>735</v>
      </c>
    </row>
    <row r="8" customFormat="false" ht="31.5" hidden="false" customHeight="true" outlineLevel="0" collapsed="false">
      <c r="A8" s="12" t="n">
        <v>5</v>
      </c>
      <c r="B8" s="10" t="s">
        <v>736</v>
      </c>
    </row>
    <row r="9" customFormat="false" ht="31.5" hidden="false" customHeight="true" outlineLevel="0" collapsed="false">
      <c r="A9" s="12" t="n">
        <v>6</v>
      </c>
      <c r="B9" s="14" t="s">
        <v>737</v>
      </c>
    </row>
    <row r="10" customFormat="false" ht="31.5" hidden="false" customHeight="true" outlineLevel="0" collapsed="false">
      <c r="A10" s="12" t="n">
        <v>7</v>
      </c>
      <c r="B10" s="10" t="s">
        <v>738</v>
      </c>
    </row>
    <row r="11" customFormat="false" ht="31.5" hidden="false" customHeight="true" outlineLevel="0" collapsed="false">
      <c r="A11" s="12" t="n">
        <v>8</v>
      </c>
      <c r="B11" s="14" t="s">
        <v>739</v>
      </c>
    </row>
    <row r="12" customFormat="false" ht="31.5" hidden="false" customHeight="true" outlineLevel="0" collapsed="false">
      <c r="A12" s="12" t="n">
        <v>9</v>
      </c>
      <c r="B12" s="10" t="s">
        <v>740</v>
      </c>
    </row>
    <row r="13" customFormat="false" ht="31.5" hidden="false" customHeight="true" outlineLevel="0" collapsed="false">
      <c r="A13" s="12" t="n">
        <v>10</v>
      </c>
      <c r="B13" s="14" t="s">
        <v>741</v>
      </c>
    </row>
    <row r="14" customFormat="false" ht="31.5" hidden="false" customHeight="true" outlineLevel="0" collapsed="false">
      <c r="A14" s="12" t="n">
        <v>11</v>
      </c>
      <c r="B14" s="10" t="s">
        <v>742</v>
      </c>
    </row>
    <row r="15" customFormat="false" ht="31.5" hidden="false" customHeight="true" outlineLevel="0" collapsed="false">
      <c r="A15" s="12" t="n">
        <v>12</v>
      </c>
      <c r="B15" s="14" t="s">
        <v>743</v>
      </c>
    </row>
    <row r="16" customFormat="false" ht="31.5" hidden="false" customHeight="true" outlineLevel="0" collapsed="false">
      <c r="A16" s="12" t="n">
        <v>13</v>
      </c>
      <c r="B16" s="10" t="s">
        <v>744</v>
      </c>
    </row>
    <row r="17" customFormat="false" ht="31.5" hidden="false" customHeight="true" outlineLevel="0" collapsed="false">
      <c r="A17" s="12" t="n">
        <v>14</v>
      </c>
      <c r="B17" s="14" t="s">
        <v>745</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2026-08-17T09:56:54Z</dcterms:created>
  <dc:creator>openpyxl</dc:creator>
  <dc:description/>
  <dc:language>en-US</dc:language>
  <cp:lastModifiedBy/>
  <dcterms:modified xsi:type="dcterms:W3CDTF">2026-08-17T09:56:54Z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