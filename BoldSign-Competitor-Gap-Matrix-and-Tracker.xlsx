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Gap Summary" sheetId="1" state="visible" r:id="rId3"/>
    <sheet name="Competitor Matrix" sheetId="2" state="visible" r:id="rId4"/>
    <sheet name="Competitor Profiles" sheetId="3" state="visible" r:id="rId5"/>
    <sheet name="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<sst xmlns="http://schemas.openxmlformats.org/spreadsheetml/2006/main" count="908" uniqueCount="402">
  <si>
    <t xml:space="preserve">BoldSign Platform Gap Summary</t>
  </si>
  <si>
    <t xml:space="preserve">BoldSign presence live-checked on August 10, 2026 (web search). 'Gap' = at least one tracked competitor is present where BoldSign is not, or BoldSign presence is incomplete.</t>
  </si>
  <si>
    <t xml:space="preserve">#</t>
  </si>
  <si>
    <t xml:space="preserve">Platform / surface</t>
  </si>
  <si>
    <t xml:space="preserve">BoldSign status (verified Aug 10, 2026)</t>
  </si>
  <si>
    <t xml:space="preserve">Tracked competitors present (examples)</t>
  </si>
  <si>
    <t xml:space="preserve">Gap?</t>
  </si>
  <si>
    <t xml:space="preserve">Priority</t>
  </si>
  <si>
    <t xml:space="preserve">Playbook action</t>
  </si>
  <si>
    <t xml:space="preserve">Key link</t>
  </si>
  <si>
    <t xml:space="preserve">G2</t>
  </si>
  <si>
    <t xml:space="preserve">LISTED, strong: 4.7 from 278 reviews, 6 Leader badges 2026. Secondary 'BoldSign eSignature API' listing weak: 2 reviews, 3.8.</t>
  </si>
  <si>
    <t xml:space="preserve">DocuSign (2,506+), SignNow (1,754), PandaDoc, Yousign (99), Formstack Sign, OneSpan, Adobe</t>
  </si>
  <si>
    <t xml:space="preserve">Partial</t>
  </si>
  <si>
    <t xml:space="preserve">P2</t>
  </si>
  <si>
    <t xml:space="preserve">14 (velocity + fix API listing)</t>
  </si>
  <si>
    <t xml:space="preserve">g2.com/products/boldsign/reviews</t>
  </si>
  <si>
    <t xml:space="preserve">Capterra / GetApp / Software Advice (Gartner)</t>
  </si>
  <si>
    <t xml:space="preserve">LISTED. GetApp 4.8 (73). Capterra shows 'Manage this product listing' claim prompt: vendor claim looks incomplete.</t>
  </si>
  <si>
    <t xml:space="preserve">DocuSign, PandaDoc, SignNow, BoloForms Signature, Authentisign, DocEndorse, Zoho Sign</t>
  </si>
  <si>
    <t xml:space="preserve">P1</t>
  </si>
  <si>
    <t xml:space="preserve">14 (complete Gartner vendor claim)</t>
  </si>
  <si>
    <t xml:space="preserve">capterra.com/p/236709/BoldSign/</t>
  </si>
  <si>
    <t xml:space="preserve">TrustRadius</t>
  </si>
  <si>
    <t xml:space="preserve">NOT VERIFIED as listed. Treat as gap.</t>
  </si>
  <si>
    <t xml:space="preserve">DocuSign, Adobe, PandaDoc, SignNow, OneSpan, Formstack</t>
  </si>
  <si>
    <t xml:space="preserve">YES</t>
  </si>
  <si>
    <t xml:space="preserve">9</t>
  </si>
  <si>
    <t xml:space="preserve">trustradius.com</t>
  </si>
  <si>
    <t xml:space="preserve">AlternativeTo</t>
  </si>
  <si>
    <t xml:space="preserve">LISTED but thin: only 8 alternatives mapped, low like counts; OpenSign shown first.</t>
  </si>
  <si>
    <t xml:space="preserve">DocuSign (121 alts mapped), PandaDoc, DocHub, DottedSign, BoloSign (own page)</t>
  </si>
  <si>
    <t xml:space="preserve">6 (enrich + like push)</t>
  </si>
  <si>
    <t xml:space="preserve">alternativeto.net/software/boldsign</t>
  </si>
  <si>
    <t xml:space="preserve">SaaSHub / SaaSworthy / Crozdesk / Slant / StackShare / Techjockey</t>
  </si>
  <si>
    <t xml:space="preserve">NOT FOUND.</t>
  </si>
  <si>
    <t xml:space="preserve">DocuSign, PandaDoc, SignNow, Zoho Sign, SignWell, DigiSigner across most</t>
  </si>
  <si>
    <t xml:space="preserve">saashub.com</t>
  </si>
  <si>
    <t xml:space="preserve">SoftwareSuggest</t>
  </si>
  <si>
    <t xml:space="preserve">LISTED (alternatives page exists).</t>
  </si>
  <si>
    <t xml:space="preserve">DocuSign, Adobe Sign, SignNow, SignEasy</t>
  </si>
  <si>
    <t xml:space="preserve">No (refresh)</t>
  </si>
  <si>
    <t xml:space="preserve">P3</t>
  </si>
  <si>
    <t xml:space="preserve">softwaresuggest.com/boldsign</t>
  </si>
  <si>
    <t xml:space="preserve">SourceForge + Slashdot business directory</t>
  </si>
  <si>
    <t xml:space="preserve">TurboSign (live product page with reviews)</t>
  </si>
  <si>
    <t xml:space="preserve">6</t>
  </si>
  <si>
    <t xml:space="preserve">sourceforge.net/software/</t>
  </si>
  <si>
    <t xml:space="preserve">Zapier</t>
  </si>
  <si>
    <t xml:space="preserve">LIVE: public integration, 3 triggers + 1 action, some Zap templates.</t>
  </si>
  <si>
    <t xml:space="preserve">PandaDoc, SignNow, Zoho Sign, Yousign, SignWell, DigiSigner, DottedSign (most with deeper action sets)</t>
  </si>
  <si>
    <t xml:space="preserve">No (deepen)</t>
  </si>
  <si>
    <t xml:space="preserve">7 (templates + new triggers/actions)</t>
  </si>
  <si>
    <t xml:space="preserve">zapier.com/apps/boldsign/integrations</t>
  </si>
  <si>
    <t xml:space="preserve">Make (Integromat)</t>
  </si>
  <si>
    <t xml:space="preserve">PandaDoc, SignNow, Yousign, Zoho Sign, DocuSign, Adobe</t>
  </si>
  <si>
    <t xml:space="preserve">20</t>
  </si>
  <si>
    <t xml:space="preserve">make.com/en/integrations</t>
  </si>
  <si>
    <t xml:space="preserve">n8n</t>
  </si>
  <si>
    <t xml:space="preserve">DocuSign, SignNow (community nodes)</t>
  </si>
  <si>
    <t xml:space="preserve">docs.n8n.io</t>
  </si>
  <si>
    <t xml:space="preserve">Pabbly Connect</t>
  </si>
  <si>
    <t xml:space="preserve">LIVE.</t>
  </si>
  <si>
    <t xml:space="preserve">Most major competitors also present</t>
  </si>
  <si>
    <t xml:space="preserve">No (done)</t>
  </si>
  <si>
    <t xml:space="preserve">Done</t>
  </si>
  <si>
    <t xml:space="preserve">20 (log it)</t>
  </si>
  <si>
    <t xml:space="preserve">pabbly.com/connect/integrations/boldsign/</t>
  </si>
  <si>
    <t xml:space="preserve">Slack App Directory</t>
  </si>
  <si>
    <t xml:space="preserve">NOT FOUND: only Zapier / Power Automate workarounds documented.</t>
  </si>
  <si>
    <t xml:space="preserve">PandaDoc, DocuSign (native apps); Inkless advertises Slack notifications</t>
  </si>
  <si>
    <t xml:space="preserve">21</t>
  </si>
  <si>
    <t xml:space="preserve">api.slack.com/start/distributing</t>
  </si>
  <si>
    <t xml:space="preserve">HubSpot Marketplace</t>
  </si>
  <si>
    <t xml:space="preserve">LIVE since May 26, 2026 (Technology Partner).</t>
  </si>
  <si>
    <t xml:space="preserve">PandaDoc, DocuSign (certified, high review counts), Yousign</t>
  </si>
  <si>
    <t xml:space="preserve">No (installs+reviews)</t>
  </si>
  <si>
    <t xml:space="preserve">7 + 25 (certification)</t>
  </si>
  <si>
    <t xml:space="preserve">boldsign.com/blogs/boldsign-hubspot-marketplace/</t>
  </si>
  <si>
    <t xml:space="preserve">Google Workspace Marketplace</t>
  </si>
  <si>
    <t xml:space="preserve">NOT FOUND (Chrome Web Store extension exists, separate surface).</t>
  </si>
  <si>
    <t xml:space="preserve">DocHub (millions of installs), SignNow, Zoho Sign, Adobe, BoloSign (Google Forms add-on)</t>
  </si>
  <si>
    <t xml:space="preserve">P1 (biggest gap)</t>
  </si>
  <si>
    <t xml:space="preserve">27</t>
  </si>
  <si>
    <t xml:space="preserve">workspace.google.com/marketplace/</t>
  </si>
  <si>
    <t xml:space="preserve">Salesforce AppExchange</t>
  </si>
  <si>
    <t xml:space="preserve">LIVE since May 14, 2026; passed security review; release 6/25/2026.</t>
  </si>
  <si>
    <t xml:space="preserve">DocuSign, Adobe, PandaDoc, SignNow, Zoho Sign, Formstack, OneSpan (all with big review counts)</t>
  </si>
  <si>
    <t xml:space="preserve">No (reviews)</t>
  </si>
  <si>
    <t xml:space="preserve">28 (reviews + AgentExchange)</t>
  </si>
  <si>
    <t xml:space="preserve">appexchange.salesforce.com listing 93ffdf51-...</t>
  </si>
  <si>
    <t xml:space="preserve">WordPress.org plugin directory</t>
  </si>
  <si>
    <t xml:space="preserve">NOT FOUND: only iframe bulk-link embed guidance.</t>
  </si>
  <si>
    <t xml:space="preserve">WPForms Signature addon, Jotform, third-party DocuSign/SignNow embed plugins</t>
  </si>
  <si>
    <t xml:space="preserve">24 + 26</t>
  </si>
  <si>
    <t xml:space="preserve">wordpress.org/plugins/developers/add/</t>
  </si>
  <si>
    <t xml:space="preserve">Microsoft AppSource / Teams</t>
  </si>
  <si>
    <t xml:space="preserve">NOT VERIFIED (M365 integrations exist on boldsign.com; store listing unconfirmed).</t>
  </si>
  <si>
    <t xml:space="preserve">DocEndorse (Outlook + Office add-ins, Teams AI agent), Adobe, Zoho Sign, SignNow</t>
  </si>
  <si>
    <t xml:space="preserve">Check</t>
  </si>
  <si>
    <t xml:space="preserve">New: verify, then scope add-in</t>
  </si>
  <si>
    <t xml:space="preserve">marketplace.microsoft.com</t>
  </si>
  <si>
    <t xml:space="preserve">Chrome Web Store</t>
  </si>
  <si>
    <t xml:space="preserve">LIVE: BoldSign extension.</t>
  </si>
  <si>
    <t xml:space="preserve">DocuSign, PandaDoc, DocHub extensions</t>
  </si>
  <si>
    <t xml:space="preserve">No</t>
  </si>
  <si>
    <t xml:space="preserve">-</t>
  </si>
  <si>
    <t xml:space="preserve">chromewebstore.google.com</t>
  </si>
  <si>
    <t xml:space="preserve">AI directories (TAAFT, Futurepedia, Toolify)</t>
  </si>
  <si>
    <t xml:space="preserve">DocEndorse (AI-native positioning); legacy vendors mostly absent too</t>
  </si>
  <si>
    <t xml:space="preserve">10</t>
  </si>
  <si>
    <t xml:space="preserve">theresanaiforthat.com</t>
  </si>
  <si>
    <t xml:space="preserve">MCP registries (official, Glama, Smithery, mcp.so)</t>
  </si>
  <si>
    <t xml:space="preserve">GitHub repo live (boldsign-mcp, npm @boldsign/mcp); registry listings not confirmed.</t>
  </si>
  <si>
    <t xml:space="preserve">No tracked competitor found with a first-party MCP server: open moat</t>
  </si>
  <si>
    <t xml:space="preserve">YES (moat)</t>
  </si>
  <si>
    <t xml:space="preserve">8</t>
  </si>
  <si>
    <t xml:space="preserve">registry.modelcontextprotocol.io</t>
  </si>
  <si>
    <t xml:space="preserve">Postman API Network</t>
  </si>
  <si>
    <t xml:space="preserve">DocuSign, Dropbox Sign, SignNow public workspaces</t>
  </si>
  <si>
    <t xml:space="preserve">4</t>
  </si>
  <si>
    <t xml:space="preserve">postman.com/explore</t>
  </si>
  <si>
    <t xml:space="preserve">Crunchbase / Wikidata / knowledge graph</t>
  </si>
  <si>
    <t xml:space="preserve">NOT VERIFIED as complete.</t>
  </si>
  <si>
    <t xml:space="preserve">All majors complete; even Mavsign (notary service) has Crunchbase</t>
  </si>
  <si>
    <t xml:space="preserve">2</t>
  </si>
  <si>
    <t xml:space="preserve">wikidata.org</t>
  </si>
  <si>
    <t xml:space="preserve">Product Hunt</t>
  </si>
  <si>
    <t xml:space="preserve">Not in original plan.</t>
  </si>
  <si>
    <t xml:space="preserve">DocEndorse launched its Teams AI agent there (Dec 2025)</t>
  </si>
  <si>
    <t xml:space="preserve">Optional</t>
  </si>
  <si>
    <t xml:space="preserve">Optional launch for MCP server or W-9 tool</t>
  </si>
  <si>
    <t xml:space="preserve">producthunt.com</t>
  </si>
  <si>
    <t xml:space="preserve">Directory and Marketplace Presence: BoldSign vs 22 named competitors</t>
  </si>
  <si>
    <t xml:space="preserve">Codes: Y! = verified by live search on Aug 10, 2026. Y = high confidence from known data (spot-check before citing). ? = unknown, check manually. N = not found. P = partial. n/a = not an eSignature SaaS, column not applicable.</t>
  </si>
  <si>
    <t xml:space="preserve">Product</t>
  </si>
  <si>
    <t xml:space="preserve">Capterra (Gartner)</t>
  </si>
  <si>
    <t xml:space="preserve">SaaSHub</t>
  </si>
  <si>
    <t xml:space="preserve">SourceForge</t>
  </si>
  <si>
    <t xml:space="preserve">Make</t>
  </si>
  <si>
    <t xml:space="preserve">Slack Dir</t>
  </si>
  <si>
    <t xml:space="preserve">HubSpot Mkt</t>
  </si>
  <si>
    <t xml:space="preserve">Google Workspace</t>
  </si>
  <si>
    <t xml:space="preserve">AppExchange</t>
  </si>
  <si>
    <t xml:space="preserve">WordPress.org</t>
  </si>
  <si>
    <t xml:space="preserve">MS AppSource</t>
  </si>
  <si>
    <t xml:space="preserve">AI Directories</t>
  </si>
  <si>
    <t xml:space="preserve">MCP Registries</t>
  </si>
  <si>
    <t xml:space="preserve">Notes (Aug 10, 2026)</t>
  </si>
  <si>
    <t xml:space="preserve">BoldSign</t>
  </si>
  <si>
    <t xml:space="preserve">Y!</t>
  </si>
  <si>
    <t xml:space="preserve">?</t>
  </si>
  <si>
    <t xml:space="preserve">P</t>
  </si>
  <si>
    <t xml:space="preserve">N</t>
  </si>
  <si>
    <t xml:space="preserve">G2 4.7/278 + 6 badges; Capterra claim prompt visible; AlternativeTo thin (8 alts); Zapier live; HubSpot live May 26 2026; AppExchange live May 14 2026; Pabbly live; Chrome extension live; MCP = GitHub repo only.</t>
  </si>
  <si>
    <t xml:space="preserve">DocuSign</t>
  </si>
  <si>
    <t xml:space="preserve">Y</t>
  </si>
  <si>
    <t xml:space="preserve">Category leader; 121 alternatives mapped on AlternativeTo; named in Google Workspace blog roundup.</t>
  </si>
  <si>
    <t xml:space="preserve">Adobe Acrobat Sign (adobe esign)</t>
  </si>
  <si>
    <t xml:space="preserve">Enterprise incumbent; deep Microsoft + Google surface coverage.</t>
  </si>
  <si>
    <t xml:space="preserve">PandaDoc</t>
  </si>
  <si>
    <t xml:space="preserve">Publishes authority content (e.g. Authentisign vs DocuSign) that ranks; strong HubSpot + Slack presence.</t>
  </si>
  <si>
    <t xml:space="preserve">SignNow (airSlate)</t>
  </si>
  <si>
    <t xml:space="preserve">1,754 G2 reviews; runs its own WordPress e-signing landing content.</t>
  </si>
  <si>
    <t xml:space="preserve">Zoho Sign</t>
  </si>
  <si>
    <t xml:space="preserve">Full Zoho ecosystem distribution.</t>
  </si>
  <si>
    <t xml:space="preserve">Jotform (Jotform Sign)</t>
  </si>
  <si>
    <t xml:space="preserve">Official WordPress plugin; forms-led acquisition engine.</t>
  </si>
  <si>
    <t xml:space="preserve">Yousign</t>
  </si>
  <si>
    <t xml:space="preserve">G2 4.3/99; EU-focused; compared head-to-head with BoldSign on G2.</t>
  </si>
  <si>
    <t xml:space="preserve">SignWell</t>
  </si>
  <si>
    <t xml:space="preserve">Appears in GetApp's BoldSign alternatives list; strong budget positioning.</t>
  </si>
  <si>
    <t xml:space="preserve">DigiSigner</t>
  </si>
  <si>
    <t xml:space="preserve">Appears in GetApp's BoldSign alternatives list; long-tail SMB player.</t>
  </si>
  <si>
    <t xml:space="preserve">DocHub</t>
  </si>
  <si>
    <t xml:space="preserve">Massive Google Workspace Marketplace install base; free-tool SEO machine.</t>
  </si>
  <si>
    <t xml:space="preserve">Formstack Sign</t>
  </si>
  <si>
    <t xml:space="preserve">G2 compares it directly with BoldSign; insurance-heavy user base.</t>
  </si>
  <si>
    <t xml:space="preserve">OneSpan Sign</t>
  </si>
  <si>
    <t xml:space="preserve">Enterprise/regulated focus; listed by G2 as a BoldSign eSignature API alternative.</t>
  </si>
  <si>
    <t xml:space="preserve">DottedSign (Kdan)</t>
  </si>
  <si>
    <t xml:space="preserve">Appears in BoloSign's AlternativeTo list; mobile-first angle.</t>
  </si>
  <si>
    <t xml:space="preserve">ZorroSign</t>
  </si>
  <si>
    <t xml:space="preserve">Blockchain positioning; small footprint.</t>
  </si>
  <si>
    <t xml:space="preserve">BoloSign (BoloForms Signature)</t>
  </si>
  <si>
    <t xml:space="preserve">Capterra/GetApp/Software Advice verified; AppSumo 4.87/263; own AlternativeTo page; Google Forms signature add-on live on GWM. Aggressive SMB flat-price play.</t>
  </si>
  <si>
    <t xml:space="preserve">DocEndorse</t>
  </si>
  <si>
    <t xml:space="preserve">AI-native eSignature; GetApp + Software Advice verified; Outlook and Office add-ins on Microsoft AppSource; Teams AI agent launched on Product Hunt Dec 2025.</t>
  </si>
  <si>
    <t xml:space="preserve">TurboSign (TurboDocx)</t>
  </si>
  <si>
    <t xml:space="preserve">Launched Jun 2025; SourceForge product page live; runs the same free-tools + self-published listicle SEO playbook (its API listicle ranks and frames BoldSign).</t>
  </si>
  <si>
    <t xml:space="preserve">Inkless (Lone Wolf)</t>
  </si>
  <si>
    <t xml:space="preserve">Launched Jan 2026 on the Authentisign engine (40M envelopes/yr). Free-unlimited consumer arm (useinkless.com) + dev API (signinkless.com). Publishes comparison content NAMING BoldSign; recommended in indie communities against BoldSign's 25-envelope free cap. G2 reviews cited by third parties. HIGH watch.</t>
  </si>
  <si>
    <t xml:space="preserve">Authentisign (Lone Wolf)</t>
  </si>
  <si>
    <t xml:space="preserve">n/a</t>
  </si>
  <si>
    <t xml:space="preserve">Real-estate vertical eSignature (TransactionDesk ecosystem). Capterra listed. Not a horizontal SaaS rival, but it powers Inkless.</t>
  </si>
  <si>
    <t xml:space="preserve">Xome (Xome Signings)</t>
  </si>
  <si>
    <t xml:space="preserve">Real-estate auction platform + mobile notary/loan signing service (Mr. Cooper affiliate). NOT an eSignature SaaS. Exclude from SaaS benchmarking.</t>
  </si>
  <si>
    <t xml:space="preserve">Maverick (Mavsign)</t>
  </si>
  <si>
    <t xml:space="preserve">Maverick Document Signings: mobile notary signing service for auto dealerships (acquired by 1876 Partners, 2024). Has Crunchbase + BBB. NOT an eSignature SaaS.</t>
  </si>
  <si>
    <t xml:space="preserve">BondSign</t>
  </si>
  <si>
    <t xml:space="preserve">Thin single-page site at bondsign.net; no directory presence found anywhere. Negligible. (A separate 'BonSign' micro-site also exists.)</t>
  </si>
  <si>
    <t xml:space="preserve">The 22 named competitors: what each actually is (verified Aug 10, 2026)</t>
  </si>
  <si>
    <t xml:space="preserve">Sorted by threat level. 'AI-answer risk' = likelihood the name shows up in ChatGPT/Perplexity/AI Overview answers for eSignature queries.</t>
  </si>
  <si>
    <t xml:space="preserve">Competitor (as given)</t>
  </si>
  <si>
    <t xml:space="preserve">Actual product / company</t>
  </si>
  <si>
    <t xml:space="preserve">Website</t>
  </si>
  <si>
    <t xml:space="preserve">Segment</t>
  </si>
  <si>
    <t xml:space="preserve">Threat to BoldSign</t>
  </si>
  <si>
    <t xml:space="preserve">AI-answer risk</t>
  </si>
  <si>
    <t xml:space="preserve">Key facts found</t>
  </si>
  <si>
    <t xml:space="preserve">docusign</t>
  </si>
  <si>
    <t xml:space="preserve">DocuSign (DocuSign Inc.)</t>
  </si>
  <si>
    <t xml:space="preserve">docusign.com</t>
  </si>
  <si>
    <t xml:space="preserve">Enterprise + SMB, category leader</t>
  </si>
  <si>
    <t xml:space="preserve">HIGH</t>
  </si>
  <si>
    <t xml:space="preserve">Very high</t>
  </si>
  <si>
    <t xml:space="preserve">1.7M businesses; everywhere BoldSign wants to be; the anchor of all 'alternative' queries.</t>
  </si>
  <si>
    <t xml:space="preserve">adobe esign</t>
  </si>
  <si>
    <t xml:space="preserve">Adobe Acrobat Sign</t>
  </si>
  <si>
    <t xml:space="preserve">adobe.com/acrobat</t>
  </si>
  <si>
    <t xml:space="preserve">Enterprise, PDF ecosystem</t>
  </si>
  <si>
    <t xml:space="preserve">Bundled with Acrobat; dominant in Microsoft/Google marketplaces.</t>
  </si>
  <si>
    <t xml:space="preserve">pandadoc</t>
  </si>
  <si>
    <t xml:space="preserve">pandadoc.com</t>
  </si>
  <si>
    <t xml:space="preserve">SMB/mid-market, docs + payments</t>
  </si>
  <si>
    <t xml:space="preserve">Huge template/generator SEO engine; certified HubSpot app; publishes ranking comparison content.</t>
  </si>
  <si>
    <t xml:space="preserve">signnow</t>
  </si>
  <si>
    <t xml:space="preserve">airSlate SignNow</t>
  </si>
  <si>
    <t xml:space="preserve">signnow.com</t>
  </si>
  <si>
    <t xml:space="preserve">SMB/mid-market, price-led</t>
  </si>
  <si>
    <t xml:space="preserve">1,754 G2 reviews at 4.6; $8 entry price; broad marketplace coverage.</t>
  </si>
  <si>
    <t xml:space="preserve">zoho sign</t>
  </si>
  <si>
    <t xml:space="preserve">zoho.com/sign</t>
  </si>
  <si>
    <t xml:space="preserve">SMB, ecosystem-led</t>
  </si>
  <si>
    <t xml:space="preserve">High</t>
  </si>
  <si>
    <t xml:space="preserve">Distribution via the Zoho suite; strong marketplace coverage.</t>
  </si>
  <si>
    <t xml:space="preserve">jotform</t>
  </si>
  <si>
    <t xml:space="preserve">Jotform Sign</t>
  </si>
  <si>
    <t xml:space="preserve">jotform.com/sign</t>
  </si>
  <si>
    <t xml:space="preserve">SMB, forms-led</t>
  </si>
  <si>
    <t xml:space="preserve">Forms funnel feeds signatures; official WordPress plugin; big free-tool footprint.</t>
  </si>
  <si>
    <t xml:space="preserve">inkless</t>
  </si>
  <si>
    <t xml:space="preserve">Inkless by Lone Wolf Technologies</t>
  </si>
  <si>
    <t xml:space="preserve">signinkless.com + useinkless.com</t>
  </si>
  <si>
    <t xml:space="preserve">Dev API + free-unlimited consumer</t>
  </si>
  <si>
    <t xml:space="preserve">HIGH (new, direct)</t>
  </si>
  <si>
    <t xml:space="preserve">Rising fast</t>
  </si>
  <si>
    <t xml:space="preserve">Launched Jan 2026 on the Authentisign engine (40M envelopes/yr). Free-unlimited positioning attacks BoldSign's 25-envelope free cap by name in blog comparisons and community threads. Claims Zapier + Slack integrations and G2 reviews. Watch closely.</t>
  </si>
  <si>
    <t xml:space="preserve">signwell</t>
  </si>
  <si>
    <t xml:space="preserve">SignWell (formerly Docsketch)</t>
  </si>
  <si>
    <t xml:space="preserve">signwell.com</t>
  </si>
  <si>
    <t xml:space="preserve">SMB, budget</t>
  </si>
  <si>
    <t xml:space="preserve">MEDIUM</t>
  </si>
  <si>
    <t xml:space="preserve">Frequent in 'affordable eSignature' roundups; appears in GetApp's BoldSign alternatives list.</t>
  </si>
  <si>
    <t xml:space="preserve">bolosign</t>
  </si>
  <si>
    <t xml:space="preserve">BoloSign = BoloForms Signature</t>
  </si>
  <si>
    <t xml:space="preserve">boloforms.com</t>
  </si>
  <si>
    <t xml:space="preserve">Small business, flat price</t>
  </si>
  <si>
    <t xml:space="preserve">Capterra/GetApp/Software Advice listed; AppSumo 4.87 from 263 reviews; Google Forms signature add-on live on Google Workspace Marketplace; unlimited-everything one-price pitch.</t>
  </si>
  <si>
    <t xml:space="preserve">yousign</t>
  </si>
  <si>
    <t xml:space="preserve">yousign.com</t>
  </si>
  <si>
    <t xml:space="preserve">EU SMB</t>
  </si>
  <si>
    <t xml:space="preserve">Medium</t>
  </si>
  <si>
    <t xml:space="preserve">G2 4.3 (99 reviews); head-to-head G2 comparison page with BoldSign exists; strong eIDAS/EU angle.</t>
  </si>
  <si>
    <t xml:space="preserve">dochub</t>
  </si>
  <si>
    <t xml:space="preserve">DocHub (airSlate)</t>
  </si>
  <si>
    <t xml:space="preserve">dochub.com</t>
  </si>
  <si>
    <t xml:space="preserve">Freemium PDF editor + sign</t>
  </si>
  <si>
    <t xml:space="preserve">Millions of Google Workspace Marketplace installs; wins free 'edit and sign PDF' queries.</t>
  </si>
  <si>
    <t xml:space="preserve">formstack</t>
  </si>
  <si>
    <t xml:space="preserve">Formstack Sign (formerly InsureSign)</t>
  </si>
  <si>
    <t xml:space="preserve">formstack.com/sign</t>
  </si>
  <si>
    <t xml:space="preserve">Mid-market, forms + docs</t>
  </si>
  <si>
    <t xml:space="preserve">G2 compares it directly with BoldSign; 89.6% of reviewers from insurance.</t>
  </si>
  <si>
    <t xml:space="preserve">onespan</t>
  </si>
  <si>
    <t xml:space="preserve">onespan.com</t>
  </si>
  <si>
    <t xml:space="preserve">Enterprise, regulated industries</t>
  </si>
  <si>
    <t xml:space="preserve">Listed by G2 as a BoldSign eSignature API alternative; banking/security heritage.</t>
  </si>
  <si>
    <t xml:space="preserve">dottedsign</t>
  </si>
  <si>
    <t xml:space="preserve">DottedSign by Kdan Mobile</t>
  </si>
  <si>
    <t xml:space="preserve">dottedsign.com</t>
  </si>
  <si>
    <t xml:space="preserve">SMB, mobile-first</t>
  </si>
  <si>
    <t xml:space="preserve">Appears in AlternativeTo lists alongside BoldSign's category peers.</t>
  </si>
  <si>
    <t xml:space="preserve">digisigner</t>
  </si>
  <si>
    <t xml:space="preserve">digisigner.com</t>
  </si>
  <si>
    <t xml:space="preserve">Micro-SMB, budget</t>
  </si>
  <si>
    <t xml:space="preserve">Long-standing low-cost tool; appears in GetApp's BoldSign alternatives list.</t>
  </si>
  <si>
    <t xml:space="preserve">turbosign</t>
  </si>
  <si>
    <t xml:space="preserve">TurboSign by TurboDocx</t>
  </si>
  <si>
    <t xml:space="preserve">turbodocx.com/products/turbosign</t>
  </si>
  <si>
    <t xml:space="preserve">Dev API + free tools</t>
  </si>
  <si>
    <t xml:space="preserve">MEDIUM (new)</t>
  </si>
  <si>
    <t xml:space="preserve">Rising</t>
  </si>
  <si>
    <t xml:space="preserve">Launched Jun 2025; SourceForge listed; runs free-tool pages (sign Word online, free e-signature) and self-published API listicles that rank and frame BoldSign's limitations.</t>
  </si>
  <si>
    <t xml:space="preserve">docendorse</t>
  </si>
  <si>
    <t xml:space="preserve">docendorse.com</t>
  </si>
  <si>
    <t xml:space="preserve">AI-native eSignature</t>
  </si>
  <si>
    <t xml:space="preserve">AI-first agentic signing (voice/text commands, WhatsApp/SMS dispatch); GetApp + Software Advice listed; Outlook and Office add-ins on Microsoft AppSource; Teams AI agent launched on Product Hunt Dec 2025.</t>
  </si>
  <si>
    <t xml:space="preserve">zorrosign</t>
  </si>
  <si>
    <t xml:space="preserve">zorrosign.com</t>
  </si>
  <si>
    <t xml:space="preserve">Blockchain eSignature niche</t>
  </si>
  <si>
    <t xml:space="preserve">LOW</t>
  </si>
  <si>
    <t xml:space="preserve">Low</t>
  </si>
  <si>
    <t xml:space="preserve">Small directory footprint; niche positioning.</t>
  </si>
  <si>
    <t xml:space="preserve">authentisigner</t>
  </si>
  <si>
    <t xml:space="preserve">Authentisign by Lone Wolf (user's spelling: AuthentiSigner)</t>
  </si>
  <si>
    <t xml:space="preserve">lwolf.com/operate/esignature</t>
  </si>
  <si>
    <t xml:space="preserve">Real-estate vertical</t>
  </si>
  <si>
    <t xml:space="preserve">LOW as direct rival; HIGH as Inkless engine</t>
  </si>
  <si>
    <t xml:space="preserve">Medium (RE queries)</t>
  </si>
  <si>
    <t xml:space="preserve">Real-estate-only eSignature inside TransactionDesk/CREA WEBForms; millions of transactions/yr; the engine behind Inkless.</t>
  </si>
  <si>
    <t xml:space="preserve">bondsign</t>
  </si>
  <si>
    <t xml:space="preserve">bondsign.net</t>
  </si>
  <si>
    <t xml:space="preserve">Micro-site</t>
  </si>
  <si>
    <t xml:space="preserve">NEGLIGIBLE</t>
  </si>
  <si>
    <t xml:space="preserve">Thin one-page marketing site; zero directory presence found. Likely appears in lists via AI hallucination or scraping.</t>
  </si>
  <si>
    <t xml:space="preserve">xome</t>
  </si>
  <si>
    <t xml:space="preserve">Xome / Xome Signings</t>
  </si>
  <si>
    <t xml:space="preserve">xome.com</t>
  </si>
  <si>
    <t xml:space="preserve">Real-estate auctions + mobile notary service</t>
  </si>
  <si>
    <t xml:space="preserve">NOT A COMPETITOR</t>
  </si>
  <si>
    <t xml:space="preserve">Loan-signing/notary service (Mr. Cooper affiliate). Belongs in 'signing services', not eSignature SaaS. Remove from SaaS comparisons.</t>
  </si>
  <si>
    <t xml:space="preserve">maverick</t>
  </si>
  <si>
    <t xml:space="preserve">Maverick Document Signings (Mavsign)</t>
  </si>
  <si>
    <t xml:space="preserve">mavsign.com</t>
  </si>
  <si>
    <t xml:space="preserve">Mobile notary for auto dealers</t>
  </si>
  <si>
    <t xml:space="preserve">Notary signing network founded 2007, acquired by 1876 Partners 2024. Remove from SaaS comparisons.</t>
  </si>
  <si>
    <t xml:space="preserve">Growth Pack Submission Tracker (Action 29)</t>
  </si>
  <si>
    <t xml:space="preserve">Edit the yellow-headed columns only (Status, Owner, URL submitted, Date, Referring domain, DR, Notes). Status is a dropdown. Row 6 shows the expected format. Weekly ritual: update statuses, chase anything Submitted &gt; 14 days, log notes.</t>
  </si>
  <si>
    <t xml:space="preserve">Action</t>
  </si>
  <si>
    <t xml:space="preserve">Band</t>
  </si>
  <si>
    <t xml:space="preserve">Status</t>
  </si>
  <si>
    <t xml:space="preserve">Owner</t>
  </si>
  <si>
    <t xml:space="preserve">URL submitted / listing URL</t>
  </si>
  <si>
    <t xml:space="preserve">Date</t>
  </si>
  <si>
    <t xml:space="preserve">Referring domain</t>
  </si>
  <si>
    <t xml:space="preserve">DR</t>
  </si>
  <si>
    <t xml:space="preserve">Notes</t>
  </si>
  <si>
    <t xml:space="preserve">F5Bot monitoring + reply templates</t>
  </si>
  <si>
    <t xml:space="preserve">1</t>
  </si>
  <si>
    <t xml:space="preserve">Not started</t>
  </si>
  <si>
    <t xml:space="preserve">Wikidata + Crunchbase + LinkedIn entity</t>
  </si>
  <si>
    <t xml:space="preserve">GitHub README header/footer + repo topics</t>
  </si>
  <si>
    <t xml:space="preserve">Postman public collection</t>
  </si>
  <si>
    <t xml:space="preserve">DocuSign/Dropbox Sign already there</t>
  </si>
  <si>
    <t xml:space="preserve">SlideShare / Scribd / Issuu</t>
  </si>
  <si>
    <t xml:space="preserve">AlternativeTo enrich + SourceForge + Slashdot</t>
  </si>
  <si>
    <t xml:space="preserve">Partially live</t>
  </si>
  <si>
    <t xml:space="preserve">2026-08-10</t>
  </si>
  <si>
    <t xml:space="preserve">alternativeto.net</t>
  </si>
  <si>
    <t xml:space="preserve">Listing exists but thin (8 alts); SourceForge/Slashdot missing</t>
  </si>
  <si>
    <t xml:space="preserve">Zapier templates + HubSpot listing optimization</t>
  </si>
  <si>
    <t xml:space="preserve">Live (optimize)</t>
  </si>
  <si>
    <t xml:space="preserve">zapier.com</t>
  </si>
  <si>
    <t xml:space="preserve">Both live; publish 5 Zap templates, add triggers/actions, HubSpot reviews</t>
  </si>
  <si>
    <t xml:space="preserve">github.com/boldsign/boldsign-mcp</t>
  </si>
  <si>
    <t xml:space="preserve">Repo live; registries unlisted; open moat</t>
  </si>
  <si>
    <t xml:space="preserve">Review directories x8 (TrustRadius etc.)</t>
  </si>
  <si>
    <t xml:space="preserve">SoftwareSuggest listed; TrustRadius is the priority gap</t>
  </si>
  <si>
    <t xml:space="preserve">AI directories x3 (TAAFT, Futurepedia, Toolify)</t>
  </si>
  <si>
    <t xml:space="preserve">Qwoted / Featured expert profiles</t>
  </si>
  <si>
    <t xml:space="preserve">Schema rollout (real ratings, validation)</t>
  </si>
  <si>
    <t xml:space="preserve">In progress</t>
  </si>
  <si>
    <t xml:space="preserve">Use real G2 data: 4.7 / 278; FAQ rich results deprecated for most sites since Aug 2023</t>
  </si>
  <si>
    <t xml:space="preserve">Listicle outreach</t>
  </si>
  <si>
    <t xml:space="preserve">3</t>
  </si>
  <si>
    <t xml:space="preserve">Already in G2 Learn + WPForms roundups: use as social proof</t>
  </si>
  <si>
    <t xml:space="preserve">G2 / Capterra review push (10-in-30)</t>
  </si>
  <si>
    <t xml:space="preserve">g2.com</t>
  </si>
  <si>
    <t xml:space="preserve">278 G2 reviews 4.7; fix API sub-listing (2 rev, 3.8); complete Capterra vendor claim</t>
  </si>
  <si>
    <t xml:space="preserve">Reddit warm-up (2 weeks)</t>
  </si>
  <si>
    <t xml:space="preserve">W-9 fillable tool page</t>
  </si>
  <si>
    <t xml:space="preserve">Use IRS Rev. March 2024 form; title year 2026</t>
  </si>
  <si>
    <t xml:space="preserve">Competitor teardown pages x4</t>
  </si>
  <si>
    <t xml:space="preserve">Verify pricing with dated screenshots first</t>
  </si>
  <si>
    <t xml:space="preserve">How-to hub (8 articles + Shorts)</t>
  </si>
  <si>
    <t xml:space="preserve">Generators x5 (NDA, offer, quote, receipt, PO)</t>
  </si>
  <si>
    <t xml:space="preserve">Make + n8n connectors (Pabbly done)</t>
  </si>
  <si>
    <t xml:space="preserve">pabbly.com</t>
  </si>
  <si>
    <t xml:space="preserve">Pabbly live; Make and n8n missing</t>
  </si>
  <si>
    <t xml:space="preserve">Slack app + directory submission</t>
  </si>
  <si>
    <t xml:space="preserve">5</t>
  </si>
  <si>
    <t xml:space="preserve">Gap verified: only Zapier/Power Automate workarounds today</t>
  </si>
  <si>
    <t xml:space="preserve">Legality hub +12 countries</t>
  </si>
  <si>
    <t xml:space="preserve">Stats page (40+ cited stats)</t>
  </si>
  <si>
    <t xml:space="preserve">WordPress readme.txt + assets</t>
  </si>
  <si>
    <t xml:space="preserve">HubSpot app certification push</t>
  </si>
  <si>
    <t xml:space="preserve">Listing live May 26 2026; certification needs installs + reviews</t>
  </si>
  <si>
    <t xml:space="preserve">WordPress.org plugin submission</t>
  </si>
  <si>
    <t xml:space="preserve">Google Workspace Marketplace add-on</t>
  </si>
  <si>
    <t xml:space="preserve">Biggest verified gap vs competitors (DocHub, SignNow, Zoho, BoloSign present)</t>
  </si>
  <si>
    <t xml:space="preserve">AppExchange optimization + reviews + AgentExchange</t>
  </si>
  <si>
    <t xml:space="preserve">appexchange.salesforce.com (listing 93ffdf51-...)</t>
  </si>
  <si>
    <t xml:space="preserve">appexchange.salesforce.com</t>
  </si>
  <si>
    <t xml:space="preserve">Live May 14 2026, release 6/25/2026; drive first 10 reviews</t>
  </si>
  <si>
    <t xml:space="preserve">Weekly tracking + verification loop</t>
  </si>
  <si>
    <t xml:space="preserve">This workbook</t>
  </si>
  <si>
    <t xml:space="preserve">Summary (auto-calculated)</t>
  </si>
  <si>
    <t xml:space="preserve">In progress + Partially live + Submitted</t>
  </si>
  <si>
    <t xml:space="preserve">Live + Live (optimize) + Indexed</t>
  </si>
  <si>
    <t xml:space="preserve">Blocked</t>
  </si>
  <si>
    <t xml:space="preserve">Total actions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</si>
</sst>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BF8F00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3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5" t="s">
        <v>13</v>
      </c>
      <c r="F5" s="4" t="s">
        <v>14</v>
      </c>
      <c r="G5" s="4" t="s">
        <v>15</v>
      </c>
      <c r="H5" s="4" t="s">
        <v>16</v>
      </c>
    </row>
    <row r="6" customFormat="false" ht="35.0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5" t="s">
        <v>13</v>
      </c>
      <c r="F6" s="4" t="s">
        <v>20</v>
      </c>
      <c r="G6" s="4" t="s">
        <v>21</v>
      </c>
      <c r="H6" s="4" t="s">
        <v>22</v>
      </c>
    </row>
    <row r="7" customFormat="false" ht="23.85" hidden="false" customHeight="false" outlineLevel="0" collapsed="false">
      <c r="A7" s="4" t="n">
        <v>3</v>
      </c>
      <c r="B7" s="4" t="s">
        <v>23</v>
      </c>
      <c r="C7" s="4" t="s">
        <v>24</v>
      </c>
      <c r="D7" s="4" t="s">
        <v>25</v>
      </c>
      <c r="E7" s="6" t="s">
        <v>26</v>
      </c>
      <c r="F7" s="4" t="s">
        <v>20</v>
      </c>
      <c r="G7" s="4" t="s">
        <v>27</v>
      </c>
      <c r="H7" s="4" t="s">
        <v>28</v>
      </c>
    </row>
    <row r="8" customFormat="false" ht="23.85" hidden="false" customHeight="false" outlineLevel="0" collapsed="false">
      <c r="A8" s="4" t="n">
        <v>4</v>
      </c>
      <c r="B8" s="4" t="s">
        <v>29</v>
      </c>
      <c r="C8" s="4" t="s">
        <v>30</v>
      </c>
      <c r="D8" s="4" t="s">
        <v>31</v>
      </c>
      <c r="E8" s="5" t="s">
        <v>13</v>
      </c>
      <c r="F8" s="4" t="s">
        <v>20</v>
      </c>
      <c r="G8" s="4" t="s">
        <v>32</v>
      </c>
      <c r="H8" s="4" t="s">
        <v>33</v>
      </c>
    </row>
    <row r="9" customFormat="false" ht="23.85" hidden="false" customHeight="false" outlineLevel="0" collapsed="false">
      <c r="A9" s="4" t="n">
        <v>5</v>
      </c>
      <c r="B9" s="4" t="s">
        <v>34</v>
      </c>
      <c r="C9" s="4" t="s">
        <v>35</v>
      </c>
      <c r="D9" s="4" t="s">
        <v>36</v>
      </c>
      <c r="E9" s="6" t="s">
        <v>26</v>
      </c>
      <c r="F9" s="4" t="s">
        <v>14</v>
      </c>
      <c r="G9" s="4" t="s">
        <v>27</v>
      </c>
      <c r="H9" s="4" t="s">
        <v>37</v>
      </c>
    </row>
    <row r="10" customFormat="false" ht="15" hidden="false" customHeight="false" outlineLevel="0" collapsed="false">
      <c r="A10" s="4" t="n">
        <v>6</v>
      </c>
      <c r="B10" s="4" t="s">
        <v>38</v>
      </c>
      <c r="C10" s="4" t="s">
        <v>39</v>
      </c>
      <c r="D10" s="4" t="s">
        <v>40</v>
      </c>
      <c r="E10" s="7" t="s">
        <v>41</v>
      </c>
      <c r="F10" s="4" t="s">
        <v>42</v>
      </c>
      <c r="G10" s="4" t="s">
        <v>27</v>
      </c>
      <c r="H10" s="4" t="s">
        <v>43</v>
      </c>
    </row>
    <row r="11" customFormat="false" ht="23.85" hidden="false" customHeight="false" outlineLevel="0" collapsed="false">
      <c r="A11" s="4" t="n">
        <v>7</v>
      </c>
      <c r="B11" s="4" t="s">
        <v>44</v>
      </c>
      <c r="C11" s="4" t="s">
        <v>35</v>
      </c>
      <c r="D11" s="4" t="s">
        <v>45</v>
      </c>
      <c r="E11" s="6" t="s">
        <v>26</v>
      </c>
      <c r="F11" s="4" t="s">
        <v>14</v>
      </c>
      <c r="G11" s="4" t="s">
        <v>46</v>
      </c>
      <c r="H11" s="4" t="s">
        <v>47</v>
      </c>
    </row>
    <row r="12" customFormat="false" ht="23.85" hidden="false" customHeight="false" outlineLevel="0" collapsed="false">
      <c r="A12" s="4" t="n">
        <v>8</v>
      </c>
      <c r="B12" s="4" t="s">
        <v>48</v>
      </c>
      <c r="C12" s="4" t="s">
        <v>49</v>
      </c>
      <c r="D12" s="4" t="s">
        <v>50</v>
      </c>
      <c r="E12" s="7" t="s">
        <v>51</v>
      </c>
      <c r="F12" s="4" t="s">
        <v>20</v>
      </c>
      <c r="G12" s="4" t="s">
        <v>52</v>
      </c>
      <c r="H12" s="4" t="s">
        <v>53</v>
      </c>
    </row>
    <row r="13" customFormat="false" ht="23.85" hidden="false" customHeight="false" outlineLevel="0" collapsed="false">
      <c r="A13" s="4" t="n">
        <v>9</v>
      </c>
      <c r="B13" s="4" t="s">
        <v>54</v>
      </c>
      <c r="C13" s="4" t="s">
        <v>35</v>
      </c>
      <c r="D13" s="4" t="s">
        <v>55</v>
      </c>
      <c r="E13" s="6" t="s">
        <v>26</v>
      </c>
      <c r="F13" s="4" t="s">
        <v>20</v>
      </c>
      <c r="G13" s="4" t="s">
        <v>56</v>
      </c>
      <c r="H13" s="4" t="s">
        <v>57</v>
      </c>
    </row>
    <row r="14" customFormat="false" ht="15" hidden="false" customHeight="false" outlineLevel="0" collapsed="false">
      <c r="A14" s="4" t="n">
        <v>10</v>
      </c>
      <c r="B14" s="4" t="s">
        <v>58</v>
      </c>
      <c r="C14" s="4" t="s">
        <v>35</v>
      </c>
      <c r="D14" s="4" t="s">
        <v>59</v>
      </c>
      <c r="E14" s="6" t="s">
        <v>26</v>
      </c>
      <c r="F14" s="4" t="s">
        <v>14</v>
      </c>
      <c r="G14" s="4" t="s">
        <v>56</v>
      </c>
      <c r="H14" s="4" t="s">
        <v>60</v>
      </c>
    </row>
    <row r="15" customFormat="false" ht="23.85" hidden="false" customHeight="false" outlineLevel="0" collapsed="false">
      <c r="A15" s="4" t="n">
        <v>11</v>
      </c>
      <c r="B15" s="4" t="s">
        <v>61</v>
      </c>
      <c r="C15" s="4" t="s">
        <v>62</v>
      </c>
      <c r="D15" s="4" t="s">
        <v>63</v>
      </c>
      <c r="E15" s="7" t="s">
        <v>64</v>
      </c>
      <c r="F15" s="4" t="s">
        <v>65</v>
      </c>
      <c r="G15" s="4" t="s">
        <v>66</v>
      </c>
      <c r="H15" s="4" t="s">
        <v>67</v>
      </c>
    </row>
    <row r="16" customFormat="false" ht="23.85" hidden="false" customHeight="false" outlineLevel="0" collapsed="false">
      <c r="A16" s="4" t="n">
        <v>12</v>
      </c>
      <c r="B16" s="4" t="s">
        <v>68</v>
      </c>
      <c r="C16" s="4" t="s">
        <v>69</v>
      </c>
      <c r="D16" s="4" t="s">
        <v>70</v>
      </c>
      <c r="E16" s="6" t="s">
        <v>26</v>
      </c>
      <c r="F16" s="4" t="s">
        <v>20</v>
      </c>
      <c r="G16" s="4" t="s">
        <v>71</v>
      </c>
      <c r="H16" s="4" t="s">
        <v>72</v>
      </c>
    </row>
    <row r="17" customFormat="false" ht="35.05" hidden="false" customHeight="false" outlineLevel="0" collapsed="false">
      <c r="A17" s="4" t="n">
        <v>13</v>
      </c>
      <c r="B17" s="4" t="s">
        <v>73</v>
      </c>
      <c r="C17" s="4" t="s">
        <v>74</v>
      </c>
      <c r="D17" s="4" t="s">
        <v>75</v>
      </c>
      <c r="E17" s="7" t="s">
        <v>76</v>
      </c>
      <c r="F17" s="4" t="s">
        <v>20</v>
      </c>
      <c r="G17" s="4" t="s">
        <v>77</v>
      </c>
      <c r="H17" s="4" t="s">
        <v>78</v>
      </c>
    </row>
    <row r="18" customFormat="false" ht="23.85" hidden="false" customHeight="false" outlineLevel="0" collapsed="false">
      <c r="A18" s="4" t="n">
        <v>14</v>
      </c>
      <c r="B18" s="4" t="s">
        <v>79</v>
      </c>
      <c r="C18" s="4" t="s">
        <v>80</v>
      </c>
      <c r="D18" s="4" t="s">
        <v>81</v>
      </c>
      <c r="E18" s="6" t="s">
        <v>26</v>
      </c>
      <c r="F18" s="4" t="s">
        <v>82</v>
      </c>
      <c r="G18" s="4" t="s">
        <v>83</v>
      </c>
      <c r="H18" s="4" t="s">
        <v>84</v>
      </c>
    </row>
    <row r="19" customFormat="false" ht="23.85" hidden="false" customHeight="false" outlineLevel="0" collapsed="false">
      <c r="A19" s="4" t="n">
        <v>15</v>
      </c>
      <c r="B19" s="4" t="s">
        <v>85</v>
      </c>
      <c r="C19" s="4" t="s">
        <v>86</v>
      </c>
      <c r="D19" s="4" t="s">
        <v>87</v>
      </c>
      <c r="E19" s="7" t="s">
        <v>88</v>
      </c>
      <c r="F19" s="4" t="s">
        <v>20</v>
      </c>
      <c r="G19" s="4" t="s">
        <v>89</v>
      </c>
      <c r="H19" s="4" t="s">
        <v>90</v>
      </c>
    </row>
    <row r="20" customFormat="false" ht="23.85" hidden="false" customHeight="false" outlineLevel="0" collapsed="false">
      <c r="A20" s="4" t="n">
        <v>16</v>
      </c>
      <c r="B20" s="4" t="s">
        <v>91</v>
      </c>
      <c r="C20" s="4" t="s">
        <v>92</v>
      </c>
      <c r="D20" s="4" t="s">
        <v>93</v>
      </c>
      <c r="E20" s="6" t="s">
        <v>26</v>
      </c>
      <c r="F20" s="4" t="s">
        <v>14</v>
      </c>
      <c r="G20" s="4" t="s">
        <v>94</v>
      </c>
      <c r="H20" s="4" t="s">
        <v>95</v>
      </c>
    </row>
    <row r="21" customFormat="false" ht="23.85" hidden="false" customHeight="false" outlineLevel="0" collapsed="false">
      <c r="A21" s="4" t="n">
        <v>17</v>
      </c>
      <c r="B21" s="4" t="s">
        <v>96</v>
      </c>
      <c r="C21" s="4" t="s">
        <v>97</v>
      </c>
      <c r="D21" s="4" t="s">
        <v>98</v>
      </c>
      <c r="E21" s="5" t="s">
        <v>99</v>
      </c>
      <c r="F21" s="4" t="s">
        <v>14</v>
      </c>
      <c r="G21" s="4" t="s">
        <v>100</v>
      </c>
      <c r="H21" s="4" t="s">
        <v>101</v>
      </c>
    </row>
    <row r="22" customFormat="false" ht="15" hidden="false" customHeight="false" outlineLevel="0" collapsed="false">
      <c r="A22" s="4" t="n">
        <v>18</v>
      </c>
      <c r="B22" s="4" t="s">
        <v>102</v>
      </c>
      <c r="C22" s="4" t="s">
        <v>103</v>
      </c>
      <c r="D22" s="4" t="s">
        <v>104</v>
      </c>
      <c r="E22" s="7" t="s">
        <v>105</v>
      </c>
      <c r="F22" s="4" t="s">
        <v>65</v>
      </c>
      <c r="G22" s="4" t="s">
        <v>106</v>
      </c>
      <c r="H22" s="4" t="s">
        <v>107</v>
      </c>
    </row>
    <row r="23" customFormat="false" ht="23.85" hidden="false" customHeight="false" outlineLevel="0" collapsed="false">
      <c r="A23" s="4" t="n">
        <v>19</v>
      </c>
      <c r="B23" s="4" t="s">
        <v>108</v>
      </c>
      <c r="C23" s="4" t="s">
        <v>35</v>
      </c>
      <c r="D23" s="4" t="s">
        <v>109</v>
      </c>
      <c r="E23" s="6" t="s">
        <v>26</v>
      </c>
      <c r="F23" s="4" t="s">
        <v>14</v>
      </c>
      <c r="G23" s="4" t="s">
        <v>110</v>
      </c>
      <c r="H23" s="4" t="s">
        <v>111</v>
      </c>
    </row>
    <row r="24" customFormat="false" ht="23.85" hidden="false" customHeight="false" outlineLevel="0" collapsed="false">
      <c r="A24" s="4" t="n">
        <v>20</v>
      </c>
      <c r="B24" s="4" t="s">
        <v>112</v>
      </c>
      <c r="C24" s="4" t="s">
        <v>113</v>
      </c>
      <c r="D24" s="4" t="s">
        <v>114</v>
      </c>
      <c r="E24" s="6" t="s">
        <v>115</v>
      </c>
      <c r="F24" s="4" t="s">
        <v>20</v>
      </c>
      <c r="G24" s="4" t="s">
        <v>116</v>
      </c>
      <c r="H24" s="4" t="s">
        <v>117</v>
      </c>
    </row>
    <row r="25" customFormat="false" ht="15" hidden="false" customHeight="false" outlineLevel="0" collapsed="false">
      <c r="A25" s="4" t="n">
        <v>21</v>
      </c>
      <c r="B25" s="4" t="s">
        <v>118</v>
      </c>
      <c r="C25" s="4" t="s">
        <v>35</v>
      </c>
      <c r="D25" s="4" t="s">
        <v>119</v>
      </c>
      <c r="E25" s="6" t="s">
        <v>26</v>
      </c>
      <c r="F25" s="4" t="s">
        <v>14</v>
      </c>
      <c r="G25" s="4" t="s">
        <v>120</v>
      </c>
      <c r="H25" s="4" t="s">
        <v>121</v>
      </c>
    </row>
    <row r="26" customFormat="false" ht="23.85" hidden="false" customHeight="false" outlineLevel="0" collapsed="false">
      <c r="A26" s="4" t="n">
        <v>22</v>
      </c>
      <c r="B26" s="4" t="s">
        <v>122</v>
      </c>
      <c r="C26" s="4" t="s">
        <v>123</v>
      </c>
      <c r="D26" s="4" t="s">
        <v>124</v>
      </c>
      <c r="E26" s="6" t="s">
        <v>26</v>
      </c>
      <c r="F26" s="4" t="s">
        <v>14</v>
      </c>
      <c r="G26" s="4" t="s">
        <v>125</v>
      </c>
      <c r="H26" s="4" t="s">
        <v>126</v>
      </c>
    </row>
    <row r="27" customFormat="false" ht="23.85" hidden="false" customHeight="false" outlineLevel="0" collapsed="false">
      <c r="A27" s="4" t="n">
        <v>23</v>
      </c>
      <c r="B27" s="4" t="s">
        <v>127</v>
      </c>
      <c r="C27" s="4" t="s">
        <v>128</v>
      </c>
      <c r="D27" s="4" t="s">
        <v>129</v>
      </c>
      <c r="E27" s="7" t="s">
        <v>130</v>
      </c>
      <c r="F27" s="4" t="s">
        <v>42</v>
      </c>
      <c r="G27" s="4" t="s">
        <v>131</v>
      </c>
      <c r="H27" s="4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1"/>
    <col collapsed="false" customWidth="true" hidden="false" outlineLevel="0" max="17" min="17" style="0" width="12"/>
    <col collapsed="false" customWidth="true" hidden="false" outlineLevel="0" max="18" min="18" style="0" width="60"/>
  </cols>
  <sheetData>
    <row r="1" customFormat="false" ht="16.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23.85" hidden="false" customHeight="false" outlineLevel="0" collapsed="false">
      <c r="A4" s="3" t="s">
        <v>135</v>
      </c>
      <c r="B4" s="3" t="s">
        <v>10</v>
      </c>
      <c r="C4" s="3" t="s">
        <v>136</v>
      </c>
      <c r="D4" s="3" t="s">
        <v>23</v>
      </c>
      <c r="E4" s="3" t="s">
        <v>29</v>
      </c>
      <c r="F4" s="3" t="s">
        <v>137</v>
      </c>
      <c r="G4" s="3" t="s">
        <v>138</v>
      </c>
      <c r="H4" s="3" t="s">
        <v>48</v>
      </c>
      <c r="I4" s="3" t="s">
        <v>139</v>
      </c>
      <c r="J4" s="3" t="s">
        <v>140</v>
      </c>
      <c r="K4" s="3" t="s">
        <v>141</v>
      </c>
      <c r="L4" s="3" t="s">
        <v>142</v>
      </c>
      <c r="M4" s="3" t="s">
        <v>143</v>
      </c>
      <c r="N4" s="3" t="s">
        <v>144</v>
      </c>
      <c r="O4" s="3" t="s">
        <v>145</v>
      </c>
      <c r="P4" s="3" t="s">
        <v>146</v>
      </c>
      <c r="Q4" s="3" t="s">
        <v>147</v>
      </c>
      <c r="R4" s="3" t="s">
        <v>148</v>
      </c>
    </row>
    <row r="5" customFormat="false" ht="32.8" hidden="false" customHeight="false" outlineLevel="0" collapsed="false">
      <c r="A5" s="8" t="s">
        <v>149</v>
      </c>
      <c r="B5" s="9" t="s">
        <v>150</v>
      </c>
      <c r="C5" s="9" t="s">
        <v>150</v>
      </c>
      <c r="D5" s="10" t="s">
        <v>151</v>
      </c>
      <c r="E5" s="11" t="s">
        <v>152</v>
      </c>
      <c r="F5" s="10" t="s">
        <v>151</v>
      </c>
      <c r="G5" s="12" t="s">
        <v>153</v>
      </c>
      <c r="H5" s="9" t="s">
        <v>150</v>
      </c>
      <c r="I5" s="12" t="s">
        <v>153</v>
      </c>
      <c r="J5" s="12" t="s">
        <v>153</v>
      </c>
      <c r="K5" s="9" t="s">
        <v>150</v>
      </c>
      <c r="L5" s="12" t="s">
        <v>153</v>
      </c>
      <c r="M5" s="9" t="s">
        <v>150</v>
      </c>
      <c r="N5" s="12" t="s">
        <v>153</v>
      </c>
      <c r="O5" s="10" t="s">
        <v>151</v>
      </c>
      <c r="P5" s="10" t="s">
        <v>151</v>
      </c>
      <c r="Q5" s="11" t="s">
        <v>152</v>
      </c>
      <c r="R5" s="13" t="s">
        <v>154</v>
      </c>
    </row>
    <row r="6" customFormat="false" ht="22.35" hidden="false" customHeight="false" outlineLevel="0" collapsed="false">
      <c r="A6" s="14" t="s">
        <v>155</v>
      </c>
      <c r="B6" s="9" t="s">
        <v>150</v>
      </c>
      <c r="C6" s="15" t="s">
        <v>156</v>
      </c>
      <c r="D6" s="15" t="s">
        <v>156</v>
      </c>
      <c r="E6" s="9" t="s">
        <v>150</v>
      </c>
      <c r="F6" s="15" t="s">
        <v>156</v>
      </c>
      <c r="G6" s="15" t="s">
        <v>156</v>
      </c>
      <c r="H6" s="15" t="s">
        <v>156</v>
      </c>
      <c r="I6" s="15" t="s">
        <v>156</v>
      </c>
      <c r="J6" s="15" t="s">
        <v>156</v>
      </c>
      <c r="K6" s="15" t="s">
        <v>156</v>
      </c>
      <c r="L6" s="9" t="s">
        <v>150</v>
      </c>
      <c r="M6" s="15" t="s">
        <v>156</v>
      </c>
      <c r="N6" s="10" t="s">
        <v>151</v>
      </c>
      <c r="O6" s="15" t="s">
        <v>156</v>
      </c>
      <c r="P6" s="10" t="s">
        <v>151</v>
      </c>
      <c r="Q6" s="10" t="s">
        <v>151</v>
      </c>
      <c r="R6" s="13" t="s">
        <v>157</v>
      </c>
    </row>
    <row r="7" customFormat="false" ht="23.85" hidden="false" customHeight="false" outlineLevel="0" collapsed="false">
      <c r="A7" s="14" t="s">
        <v>158</v>
      </c>
      <c r="B7" s="9" t="s">
        <v>150</v>
      </c>
      <c r="C7" s="15" t="s">
        <v>156</v>
      </c>
      <c r="D7" s="15" t="s">
        <v>156</v>
      </c>
      <c r="E7" s="15" t="s">
        <v>156</v>
      </c>
      <c r="F7" s="15" t="s">
        <v>156</v>
      </c>
      <c r="G7" s="10" t="s">
        <v>151</v>
      </c>
      <c r="H7" s="15" t="s">
        <v>156</v>
      </c>
      <c r="I7" s="15" t="s">
        <v>156</v>
      </c>
      <c r="J7" s="15" t="s">
        <v>156</v>
      </c>
      <c r="K7" s="15" t="s">
        <v>156</v>
      </c>
      <c r="L7" s="15" t="s">
        <v>156</v>
      </c>
      <c r="M7" s="15" t="s">
        <v>156</v>
      </c>
      <c r="N7" s="10" t="s">
        <v>151</v>
      </c>
      <c r="O7" s="15" t="s">
        <v>156</v>
      </c>
      <c r="P7" s="10" t="s">
        <v>151</v>
      </c>
      <c r="Q7" s="10" t="s">
        <v>151</v>
      </c>
      <c r="R7" s="13" t="s">
        <v>159</v>
      </c>
    </row>
    <row r="8" customFormat="false" ht="22.35" hidden="false" customHeight="false" outlineLevel="0" collapsed="false">
      <c r="A8" s="14" t="s">
        <v>160</v>
      </c>
      <c r="B8" s="9" t="s">
        <v>150</v>
      </c>
      <c r="C8" s="15" t="s">
        <v>156</v>
      </c>
      <c r="D8" s="15" t="s">
        <v>156</v>
      </c>
      <c r="E8" s="9" t="s">
        <v>150</v>
      </c>
      <c r="F8" s="15" t="s">
        <v>156</v>
      </c>
      <c r="G8" s="10" t="s">
        <v>151</v>
      </c>
      <c r="H8" s="15" t="s">
        <v>156</v>
      </c>
      <c r="I8" s="15" t="s">
        <v>156</v>
      </c>
      <c r="J8" s="15" t="s">
        <v>156</v>
      </c>
      <c r="K8" s="15" t="s">
        <v>156</v>
      </c>
      <c r="L8" s="10" t="s">
        <v>151</v>
      </c>
      <c r="M8" s="15" t="s">
        <v>156</v>
      </c>
      <c r="N8" s="10" t="s">
        <v>151</v>
      </c>
      <c r="O8" s="10" t="s">
        <v>151</v>
      </c>
      <c r="P8" s="10" t="s">
        <v>151</v>
      </c>
      <c r="Q8" s="10" t="s">
        <v>151</v>
      </c>
      <c r="R8" s="13" t="s">
        <v>161</v>
      </c>
    </row>
    <row r="9" customFormat="false" ht="15" hidden="false" customHeight="false" outlineLevel="0" collapsed="false">
      <c r="A9" s="14" t="s">
        <v>162</v>
      </c>
      <c r="B9" s="9" t="s">
        <v>150</v>
      </c>
      <c r="C9" s="15" t="s">
        <v>156</v>
      </c>
      <c r="D9" s="15" t="s">
        <v>156</v>
      </c>
      <c r="E9" s="9" t="s">
        <v>150</v>
      </c>
      <c r="F9" s="15" t="s">
        <v>156</v>
      </c>
      <c r="G9" s="10" t="s">
        <v>151</v>
      </c>
      <c r="H9" s="15" t="s">
        <v>156</v>
      </c>
      <c r="I9" s="15" t="s">
        <v>156</v>
      </c>
      <c r="J9" s="10" t="s">
        <v>151</v>
      </c>
      <c r="K9" s="15" t="s">
        <v>156</v>
      </c>
      <c r="L9" s="15" t="s">
        <v>156</v>
      </c>
      <c r="M9" s="15" t="s">
        <v>156</v>
      </c>
      <c r="N9" s="10" t="s">
        <v>151</v>
      </c>
      <c r="O9" s="15" t="s">
        <v>156</v>
      </c>
      <c r="P9" s="10" t="s">
        <v>151</v>
      </c>
      <c r="Q9" s="10" t="s">
        <v>151</v>
      </c>
      <c r="R9" s="13" t="s">
        <v>163</v>
      </c>
    </row>
    <row r="10" customFormat="false" ht="15" hidden="false" customHeight="false" outlineLevel="0" collapsed="false">
      <c r="A10" s="14" t="s">
        <v>164</v>
      </c>
      <c r="B10" s="15" t="s">
        <v>156</v>
      </c>
      <c r="C10" s="15" t="s">
        <v>156</v>
      </c>
      <c r="D10" s="15" t="s">
        <v>156</v>
      </c>
      <c r="E10" s="15" t="s">
        <v>156</v>
      </c>
      <c r="F10" s="15" t="s">
        <v>156</v>
      </c>
      <c r="G10" s="10" t="s">
        <v>151</v>
      </c>
      <c r="H10" s="15" t="s">
        <v>156</v>
      </c>
      <c r="I10" s="15" t="s">
        <v>156</v>
      </c>
      <c r="J10" s="10" t="s">
        <v>151</v>
      </c>
      <c r="K10" s="10" t="s">
        <v>151</v>
      </c>
      <c r="L10" s="15" t="s">
        <v>156</v>
      </c>
      <c r="M10" s="15" t="s">
        <v>156</v>
      </c>
      <c r="N10" s="10" t="s">
        <v>151</v>
      </c>
      <c r="O10" s="15" t="s">
        <v>156</v>
      </c>
      <c r="P10" s="10" t="s">
        <v>151</v>
      </c>
      <c r="Q10" s="10" t="s">
        <v>151</v>
      </c>
      <c r="R10" s="13" t="s">
        <v>165</v>
      </c>
    </row>
    <row r="11" customFormat="false" ht="15" hidden="false" customHeight="false" outlineLevel="0" collapsed="false">
      <c r="A11" s="14" t="s">
        <v>166</v>
      </c>
      <c r="B11" s="15" t="s">
        <v>156</v>
      </c>
      <c r="C11" s="15" t="s">
        <v>156</v>
      </c>
      <c r="D11" s="15" t="s">
        <v>156</v>
      </c>
      <c r="E11" s="15" t="s">
        <v>156</v>
      </c>
      <c r="F11" s="15" t="s">
        <v>156</v>
      </c>
      <c r="G11" s="10" t="s">
        <v>151</v>
      </c>
      <c r="H11" s="15" t="s">
        <v>156</v>
      </c>
      <c r="I11" s="15" t="s">
        <v>156</v>
      </c>
      <c r="J11" s="15" t="s">
        <v>156</v>
      </c>
      <c r="K11" s="15" t="s">
        <v>156</v>
      </c>
      <c r="L11" s="15" t="s">
        <v>156</v>
      </c>
      <c r="M11" s="10" t="s">
        <v>151</v>
      </c>
      <c r="N11" s="15" t="s">
        <v>156</v>
      </c>
      <c r="O11" s="10" t="s">
        <v>151</v>
      </c>
      <c r="P11" s="10" t="s">
        <v>151</v>
      </c>
      <c r="Q11" s="10" t="s">
        <v>151</v>
      </c>
      <c r="R11" s="13" t="s">
        <v>167</v>
      </c>
    </row>
    <row r="12" customFormat="false" ht="15" hidden="false" customHeight="false" outlineLevel="0" collapsed="false">
      <c r="A12" s="14" t="s">
        <v>168</v>
      </c>
      <c r="B12" s="9" t="s">
        <v>150</v>
      </c>
      <c r="C12" s="15" t="s">
        <v>156</v>
      </c>
      <c r="D12" s="10" t="s">
        <v>151</v>
      </c>
      <c r="E12" s="15" t="s">
        <v>156</v>
      </c>
      <c r="F12" s="15" t="s">
        <v>156</v>
      </c>
      <c r="G12" s="10" t="s">
        <v>151</v>
      </c>
      <c r="H12" s="15" t="s">
        <v>156</v>
      </c>
      <c r="I12" s="15" t="s">
        <v>156</v>
      </c>
      <c r="J12" s="10" t="s">
        <v>151</v>
      </c>
      <c r="K12" s="15" t="s">
        <v>156</v>
      </c>
      <c r="L12" s="10" t="s">
        <v>151</v>
      </c>
      <c r="M12" s="10" t="s">
        <v>151</v>
      </c>
      <c r="N12" s="10" t="s">
        <v>151</v>
      </c>
      <c r="O12" s="10" t="s">
        <v>151</v>
      </c>
      <c r="P12" s="10" t="s">
        <v>151</v>
      </c>
      <c r="Q12" s="10" t="s">
        <v>151</v>
      </c>
      <c r="R12" s="13" t="s">
        <v>169</v>
      </c>
    </row>
    <row r="13" customFormat="false" ht="15" hidden="false" customHeight="false" outlineLevel="0" collapsed="false">
      <c r="A13" s="14" t="s">
        <v>170</v>
      </c>
      <c r="B13" s="15" t="s">
        <v>156</v>
      </c>
      <c r="C13" s="9" t="s">
        <v>150</v>
      </c>
      <c r="D13" s="10" t="s">
        <v>151</v>
      </c>
      <c r="E13" s="15" t="s">
        <v>156</v>
      </c>
      <c r="F13" s="15" t="s">
        <v>156</v>
      </c>
      <c r="G13" s="10" t="s">
        <v>151</v>
      </c>
      <c r="H13" s="15" t="s">
        <v>156</v>
      </c>
      <c r="I13" s="10" t="s">
        <v>151</v>
      </c>
      <c r="J13" s="10" t="s">
        <v>151</v>
      </c>
      <c r="K13" s="10" t="s">
        <v>151</v>
      </c>
      <c r="L13" s="10" t="s">
        <v>151</v>
      </c>
      <c r="M13" s="12" t="s">
        <v>153</v>
      </c>
      <c r="N13" s="10" t="s">
        <v>151</v>
      </c>
      <c r="O13" s="10" t="s">
        <v>151</v>
      </c>
      <c r="P13" s="10" t="s">
        <v>151</v>
      </c>
      <c r="Q13" s="10" t="s">
        <v>151</v>
      </c>
      <c r="R13" s="13" t="s">
        <v>171</v>
      </c>
    </row>
    <row r="14" customFormat="false" ht="15" hidden="false" customHeight="false" outlineLevel="0" collapsed="false">
      <c r="A14" s="14" t="s">
        <v>172</v>
      </c>
      <c r="B14" s="15" t="s">
        <v>156</v>
      </c>
      <c r="C14" s="9" t="s">
        <v>150</v>
      </c>
      <c r="D14" s="10" t="s">
        <v>151</v>
      </c>
      <c r="E14" s="15" t="s">
        <v>156</v>
      </c>
      <c r="F14" s="15" t="s">
        <v>156</v>
      </c>
      <c r="G14" s="10" t="s">
        <v>151</v>
      </c>
      <c r="H14" s="15" t="s">
        <v>156</v>
      </c>
      <c r="I14" s="10" t="s">
        <v>151</v>
      </c>
      <c r="J14" s="10" t="s">
        <v>151</v>
      </c>
      <c r="K14" s="10" t="s">
        <v>151</v>
      </c>
      <c r="L14" s="10" t="s">
        <v>151</v>
      </c>
      <c r="M14" s="12" t="s">
        <v>153</v>
      </c>
      <c r="N14" s="10" t="s">
        <v>151</v>
      </c>
      <c r="O14" s="10" t="s">
        <v>151</v>
      </c>
      <c r="P14" s="10" t="s">
        <v>151</v>
      </c>
      <c r="Q14" s="10" t="s">
        <v>151</v>
      </c>
      <c r="R14" s="13" t="s">
        <v>173</v>
      </c>
    </row>
    <row r="15" customFormat="false" ht="15" hidden="false" customHeight="false" outlineLevel="0" collapsed="false">
      <c r="A15" s="14" t="s">
        <v>174</v>
      </c>
      <c r="B15" s="15" t="s">
        <v>156</v>
      </c>
      <c r="C15" s="15" t="s">
        <v>156</v>
      </c>
      <c r="D15" s="10" t="s">
        <v>151</v>
      </c>
      <c r="E15" s="9" t="s">
        <v>150</v>
      </c>
      <c r="F15" s="15" t="s">
        <v>156</v>
      </c>
      <c r="G15" s="10" t="s">
        <v>151</v>
      </c>
      <c r="H15" s="10" t="s">
        <v>151</v>
      </c>
      <c r="I15" s="10" t="s">
        <v>151</v>
      </c>
      <c r="J15" s="10" t="s">
        <v>151</v>
      </c>
      <c r="K15" s="10" t="s">
        <v>151</v>
      </c>
      <c r="L15" s="15" t="s">
        <v>156</v>
      </c>
      <c r="M15" s="12" t="s">
        <v>153</v>
      </c>
      <c r="N15" s="10" t="s">
        <v>151</v>
      </c>
      <c r="O15" s="10" t="s">
        <v>151</v>
      </c>
      <c r="P15" s="10" t="s">
        <v>151</v>
      </c>
      <c r="Q15" s="10" t="s">
        <v>151</v>
      </c>
      <c r="R15" s="13" t="s">
        <v>175</v>
      </c>
    </row>
    <row r="16" customFormat="false" ht="15" hidden="false" customHeight="false" outlineLevel="0" collapsed="false">
      <c r="A16" s="14" t="s">
        <v>176</v>
      </c>
      <c r="B16" s="9" t="s">
        <v>150</v>
      </c>
      <c r="C16" s="15" t="s">
        <v>156</v>
      </c>
      <c r="D16" s="15" t="s">
        <v>156</v>
      </c>
      <c r="E16" s="10" t="s">
        <v>151</v>
      </c>
      <c r="F16" s="10" t="s">
        <v>151</v>
      </c>
      <c r="G16" s="10" t="s">
        <v>151</v>
      </c>
      <c r="H16" s="15" t="s">
        <v>156</v>
      </c>
      <c r="I16" s="10" t="s">
        <v>151</v>
      </c>
      <c r="J16" s="10" t="s">
        <v>151</v>
      </c>
      <c r="K16" s="10" t="s">
        <v>151</v>
      </c>
      <c r="L16" s="10" t="s">
        <v>151</v>
      </c>
      <c r="M16" s="15" t="s">
        <v>156</v>
      </c>
      <c r="N16" s="10" t="s">
        <v>151</v>
      </c>
      <c r="O16" s="10" t="s">
        <v>151</v>
      </c>
      <c r="P16" s="10" t="s">
        <v>151</v>
      </c>
      <c r="Q16" s="10" t="s">
        <v>151</v>
      </c>
      <c r="R16" s="13" t="s">
        <v>177</v>
      </c>
    </row>
    <row r="17" customFormat="false" ht="22.35" hidden="false" customHeight="false" outlineLevel="0" collapsed="false">
      <c r="A17" s="14" t="s">
        <v>178</v>
      </c>
      <c r="B17" s="9" t="s">
        <v>150</v>
      </c>
      <c r="C17" s="15" t="s">
        <v>156</v>
      </c>
      <c r="D17" s="15" t="s">
        <v>156</v>
      </c>
      <c r="E17" s="15" t="s">
        <v>156</v>
      </c>
      <c r="F17" s="10" t="s">
        <v>151</v>
      </c>
      <c r="G17" s="10" t="s">
        <v>151</v>
      </c>
      <c r="H17" s="10" t="s">
        <v>151</v>
      </c>
      <c r="I17" s="10" t="s">
        <v>151</v>
      </c>
      <c r="J17" s="10" t="s">
        <v>151</v>
      </c>
      <c r="K17" s="10" t="s">
        <v>151</v>
      </c>
      <c r="L17" s="10" t="s">
        <v>151</v>
      </c>
      <c r="M17" s="15" t="s">
        <v>156</v>
      </c>
      <c r="N17" s="10" t="s">
        <v>151</v>
      </c>
      <c r="O17" s="10" t="s">
        <v>151</v>
      </c>
      <c r="P17" s="10" t="s">
        <v>151</v>
      </c>
      <c r="Q17" s="10" t="s">
        <v>151</v>
      </c>
      <c r="R17" s="13" t="s">
        <v>179</v>
      </c>
    </row>
    <row r="18" customFormat="false" ht="15" hidden="false" customHeight="false" outlineLevel="0" collapsed="false">
      <c r="A18" s="14" t="s">
        <v>180</v>
      </c>
      <c r="B18" s="15" t="s">
        <v>156</v>
      </c>
      <c r="C18" s="15" t="s">
        <v>156</v>
      </c>
      <c r="D18" s="10" t="s">
        <v>151</v>
      </c>
      <c r="E18" s="9" t="s">
        <v>150</v>
      </c>
      <c r="F18" s="15" t="s">
        <v>156</v>
      </c>
      <c r="G18" s="10" t="s">
        <v>151</v>
      </c>
      <c r="H18" s="15" t="s">
        <v>156</v>
      </c>
      <c r="I18" s="10" t="s">
        <v>151</v>
      </c>
      <c r="J18" s="10" t="s">
        <v>151</v>
      </c>
      <c r="K18" s="10" t="s">
        <v>151</v>
      </c>
      <c r="L18" s="10" t="s">
        <v>151</v>
      </c>
      <c r="M18" s="12" t="s">
        <v>153</v>
      </c>
      <c r="N18" s="10" t="s">
        <v>151</v>
      </c>
      <c r="O18" s="10" t="s">
        <v>151</v>
      </c>
      <c r="P18" s="10" t="s">
        <v>151</v>
      </c>
      <c r="Q18" s="10" t="s">
        <v>151</v>
      </c>
      <c r="R18" s="13" t="s">
        <v>181</v>
      </c>
    </row>
    <row r="19" customFormat="false" ht="15" hidden="false" customHeight="false" outlineLevel="0" collapsed="false">
      <c r="A19" s="14" t="s">
        <v>182</v>
      </c>
      <c r="B19" s="15" t="s">
        <v>156</v>
      </c>
      <c r="C19" s="15" t="s">
        <v>156</v>
      </c>
      <c r="D19" s="10" t="s">
        <v>151</v>
      </c>
      <c r="E19" s="10" t="s">
        <v>151</v>
      </c>
      <c r="F19" s="10" t="s">
        <v>151</v>
      </c>
      <c r="G19" s="10" t="s">
        <v>151</v>
      </c>
      <c r="H19" s="10" t="s">
        <v>151</v>
      </c>
      <c r="I19" s="10" t="s">
        <v>151</v>
      </c>
      <c r="J19" s="10" t="s">
        <v>151</v>
      </c>
      <c r="K19" s="10" t="s">
        <v>151</v>
      </c>
      <c r="L19" s="10" t="s">
        <v>151</v>
      </c>
      <c r="M19" s="12" t="s">
        <v>153</v>
      </c>
      <c r="N19" s="10" t="s">
        <v>151</v>
      </c>
      <c r="O19" s="10" t="s">
        <v>151</v>
      </c>
      <c r="P19" s="10" t="s">
        <v>151</v>
      </c>
      <c r="Q19" s="10" t="s">
        <v>151</v>
      </c>
      <c r="R19" s="13" t="s">
        <v>183</v>
      </c>
    </row>
    <row r="20" customFormat="false" ht="32.8" hidden="false" customHeight="false" outlineLevel="0" collapsed="false">
      <c r="A20" s="14" t="s">
        <v>184</v>
      </c>
      <c r="B20" s="10" t="s">
        <v>151</v>
      </c>
      <c r="C20" s="9" t="s">
        <v>150</v>
      </c>
      <c r="D20" s="12" t="s">
        <v>153</v>
      </c>
      <c r="E20" s="9" t="s">
        <v>150</v>
      </c>
      <c r="F20" s="10" t="s">
        <v>151</v>
      </c>
      <c r="G20" s="10" t="s">
        <v>151</v>
      </c>
      <c r="H20" s="10" t="s">
        <v>151</v>
      </c>
      <c r="I20" s="10" t="s">
        <v>151</v>
      </c>
      <c r="J20" s="10" t="s">
        <v>151</v>
      </c>
      <c r="K20" s="10" t="s">
        <v>151</v>
      </c>
      <c r="L20" s="9" t="s">
        <v>150</v>
      </c>
      <c r="M20" s="12" t="s">
        <v>153</v>
      </c>
      <c r="N20" s="10" t="s">
        <v>151</v>
      </c>
      <c r="O20" s="10" t="s">
        <v>151</v>
      </c>
      <c r="P20" s="10" t="s">
        <v>151</v>
      </c>
      <c r="Q20" s="10" t="s">
        <v>151</v>
      </c>
      <c r="R20" s="13" t="s">
        <v>185</v>
      </c>
    </row>
    <row r="21" customFormat="false" ht="32.8" hidden="false" customHeight="false" outlineLevel="0" collapsed="false">
      <c r="A21" s="14" t="s">
        <v>186</v>
      </c>
      <c r="B21" s="10" t="s">
        <v>151</v>
      </c>
      <c r="C21" s="9" t="s">
        <v>150</v>
      </c>
      <c r="D21" s="12" t="s">
        <v>153</v>
      </c>
      <c r="E21" s="10" t="s">
        <v>151</v>
      </c>
      <c r="F21" s="10" t="s">
        <v>151</v>
      </c>
      <c r="G21" s="10" t="s">
        <v>151</v>
      </c>
      <c r="H21" s="12" t="s">
        <v>153</v>
      </c>
      <c r="I21" s="10" t="s">
        <v>151</v>
      </c>
      <c r="J21" s="10" t="s">
        <v>151</v>
      </c>
      <c r="K21" s="10" t="s">
        <v>151</v>
      </c>
      <c r="L21" s="10" t="s">
        <v>151</v>
      </c>
      <c r="M21" s="12" t="s">
        <v>153</v>
      </c>
      <c r="N21" s="10" t="s">
        <v>151</v>
      </c>
      <c r="O21" s="9" t="s">
        <v>150</v>
      </c>
      <c r="P21" s="10" t="s">
        <v>151</v>
      </c>
      <c r="Q21" s="12" t="s">
        <v>153</v>
      </c>
      <c r="R21" s="13" t="s">
        <v>187</v>
      </c>
    </row>
    <row r="22" customFormat="false" ht="22.35" hidden="false" customHeight="false" outlineLevel="0" collapsed="false">
      <c r="A22" s="14" t="s">
        <v>188</v>
      </c>
      <c r="B22" s="10" t="s">
        <v>151</v>
      </c>
      <c r="C22" s="10" t="s">
        <v>151</v>
      </c>
      <c r="D22" s="12" t="s">
        <v>153</v>
      </c>
      <c r="E22" s="10" t="s">
        <v>151</v>
      </c>
      <c r="F22" s="10" t="s">
        <v>151</v>
      </c>
      <c r="G22" s="9" t="s">
        <v>150</v>
      </c>
      <c r="H22" s="10" t="s">
        <v>151</v>
      </c>
      <c r="I22" s="10" t="s">
        <v>151</v>
      </c>
      <c r="J22" s="10" t="s">
        <v>151</v>
      </c>
      <c r="K22" s="10" t="s">
        <v>151</v>
      </c>
      <c r="L22" s="10" t="s">
        <v>151</v>
      </c>
      <c r="M22" s="12" t="s">
        <v>153</v>
      </c>
      <c r="N22" s="10" t="s">
        <v>151</v>
      </c>
      <c r="O22" s="10" t="s">
        <v>151</v>
      </c>
      <c r="P22" s="10" t="s">
        <v>151</v>
      </c>
      <c r="Q22" s="12" t="s">
        <v>153</v>
      </c>
      <c r="R22" s="13" t="s">
        <v>189</v>
      </c>
    </row>
    <row r="23" customFormat="false" ht="53.7" hidden="false" customHeight="false" outlineLevel="0" collapsed="false">
      <c r="A23" s="14" t="s">
        <v>190</v>
      </c>
      <c r="B23" s="15" t="s">
        <v>156</v>
      </c>
      <c r="C23" s="10" t="s">
        <v>151</v>
      </c>
      <c r="D23" s="12" t="s">
        <v>153</v>
      </c>
      <c r="E23" s="10" t="s">
        <v>151</v>
      </c>
      <c r="F23" s="10" t="s">
        <v>151</v>
      </c>
      <c r="G23" s="10" t="s">
        <v>151</v>
      </c>
      <c r="H23" s="10" t="s">
        <v>151</v>
      </c>
      <c r="I23" s="10" t="s">
        <v>151</v>
      </c>
      <c r="J23" s="10" t="s">
        <v>151</v>
      </c>
      <c r="K23" s="10" t="s">
        <v>151</v>
      </c>
      <c r="L23" s="10" t="s">
        <v>151</v>
      </c>
      <c r="M23" s="12" t="s">
        <v>153</v>
      </c>
      <c r="N23" s="10" t="s">
        <v>151</v>
      </c>
      <c r="O23" s="10" t="s">
        <v>151</v>
      </c>
      <c r="P23" s="10" t="s">
        <v>151</v>
      </c>
      <c r="Q23" s="12" t="s">
        <v>153</v>
      </c>
      <c r="R23" s="13" t="s">
        <v>191</v>
      </c>
    </row>
    <row r="24" customFormat="false" ht="22.35" hidden="false" customHeight="false" outlineLevel="0" collapsed="false">
      <c r="A24" s="14" t="s">
        <v>192</v>
      </c>
      <c r="B24" s="15" t="s">
        <v>156</v>
      </c>
      <c r="C24" s="9" t="s">
        <v>150</v>
      </c>
      <c r="D24" s="10" t="s">
        <v>151</v>
      </c>
      <c r="E24" s="10" t="s">
        <v>151</v>
      </c>
      <c r="F24" s="10" t="s">
        <v>151</v>
      </c>
      <c r="G24" s="10" t="s">
        <v>151</v>
      </c>
      <c r="H24" s="12" t="s">
        <v>153</v>
      </c>
      <c r="I24" s="12" t="s">
        <v>153</v>
      </c>
      <c r="J24" s="12" t="s">
        <v>153</v>
      </c>
      <c r="K24" s="12" t="s">
        <v>153</v>
      </c>
      <c r="L24" s="12" t="s">
        <v>153</v>
      </c>
      <c r="M24" s="12" t="s">
        <v>153</v>
      </c>
      <c r="N24" s="12" t="s">
        <v>153</v>
      </c>
      <c r="O24" s="12" t="s">
        <v>153</v>
      </c>
      <c r="P24" s="16" t="s">
        <v>193</v>
      </c>
      <c r="Q24" s="12" t="s">
        <v>153</v>
      </c>
      <c r="R24" s="13" t="s">
        <v>194</v>
      </c>
    </row>
    <row r="25" customFormat="false" ht="22.35" hidden="false" customHeight="false" outlineLevel="0" collapsed="false">
      <c r="A25" s="14" t="s">
        <v>195</v>
      </c>
      <c r="B25" s="16" t="s">
        <v>193</v>
      </c>
      <c r="C25" s="16" t="s">
        <v>193</v>
      </c>
      <c r="D25" s="16" t="s">
        <v>193</v>
      </c>
      <c r="E25" s="16" t="s">
        <v>193</v>
      </c>
      <c r="F25" s="16" t="s">
        <v>193</v>
      </c>
      <c r="G25" s="16" t="s">
        <v>193</v>
      </c>
      <c r="H25" s="16" t="s">
        <v>193</v>
      </c>
      <c r="I25" s="16" t="s">
        <v>193</v>
      </c>
      <c r="J25" s="16" t="s">
        <v>193</v>
      </c>
      <c r="K25" s="16" t="s">
        <v>193</v>
      </c>
      <c r="L25" s="16" t="s">
        <v>193</v>
      </c>
      <c r="M25" s="16" t="s">
        <v>193</v>
      </c>
      <c r="N25" s="16" t="s">
        <v>193</v>
      </c>
      <c r="O25" s="16" t="s">
        <v>193</v>
      </c>
      <c r="P25" s="16" t="s">
        <v>193</v>
      </c>
      <c r="Q25" s="16" t="s">
        <v>193</v>
      </c>
      <c r="R25" s="13" t="s">
        <v>196</v>
      </c>
    </row>
    <row r="26" customFormat="false" ht="32.8" hidden="false" customHeight="false" outlineLevel="0" collapsed="false">
      <c r="A26" s="14" t="s">
        <v>197</v>
      </c>
      <c r="B26" s="16" t="s">
        <v>193</v>
      </c>
      <c r="C26" s="16" t="s">
        <v>193</v>
      </c>
      <c r="D26" s="16" t="s">
        <v>193</v>
      </c>
      <c r="E26" s="16" t="s">
        <v>193</v>
      </c>
      <c r="F26" s="16" t="s">
        <v>193</v>
      </c>
      <c r="G26" s="16" t="s">
        <v>193</v>
      </c>
      <c r="H26" s="16" t="s">
        <v>193</v>
      </c>
      <c r="I26" s="16" t="s">
        <v>193</v>
      </c>
      <c r="J26" s="16" t="s">
        <v>193</v>
      </c>
      <c r="K26" s="16" t="s">
        <v>193</v>
      </c>
      <c r="L26" s="16" t="s">
        <v>193</v>
      </c>
      <c r="M26" s="16" t="s">
        <v>193</v>
      </c>
      <c r="N26" s="16" t="s">
        <v>193</v>
      </c>
      <c r="O26" s="16" t="s">
        <v>193</v>
      </c>
      <c r="P26" s="16" t="s">
        <v>193</v>
      </c>
      <c r="Q26" s="16" t="s">
        <v>193</v>
      </c>
      <c r="R26" s="13" t="s">
        <v>198</v>
      </c>
    </row>
    <row r="27" customFormat="false" ht="22.35" hidden="false" customHeight="false" outlineLevel="0" collapsed="false">
      <c r="A27" s="14" t="s">
        <v>199</v>
      </c>
      <c r="B27" s="12" t="s">
        <v>153</v>
      </c>
      <c r="C27" s="12" t="s">
        <v>153</v>
      </c>
      <c r="D27" s="12" t="s">
        <v>153</v>
      </c>
      <c r="E27" s="12" t="s">
        <v>153</v>
      </c>
      <c r="F27" s="12" t="s">
        <v>153</v>
      </c>
      <c r="G27" s="12" t="s">
        <v>153</v>
      </c>
      <c r="H27" s="12" t="s">
        <v>153</v>
      </c>
      <c r="I27" s="12" t="s">
        <v>153</v>
      </c>
      <c r="J27" s="12" t="s">
        <v>153</v>
      </c>
      <c r="K27" s="12" t="s">
        <v>153</v>
      </c>
      <c r="L27" s="12" t="s">
        <v>153</v>
      </c>
      <c r="M27" s="12" t="s">
        <v>153</v>
      </c>
      <c r="N27" s="12" t="s">
        <v>153</v>
      </c>
      <c r="O27" s="12" t="s">
        <v>153</v>
      </c>
      <c r="P27" s="12" t="s">
        <v>153</v>
      </c>
      <c r="Q27" s="12" t="s">
        <v>153</v>
      </c>
      <c r="R27" s="1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62"/>
  </cols>
  <sheetData>
    <row r="1" customFormat="false" ht="16.1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  <c r="F4" s="3" t="s">
        <v>208</v>
      </c>
      <c r="G4" s="3" t="s">
        <v>209</v>
      </c>
    </row>
    <row r="5" customFormat="false" ht="23.85" hidden="false" customHeight="false" outlineLevel="0" collapsed="false">
      <c r="A5" s="4" t="s">
        <v>210</v>
      </c>
      <c r="B5" s="4" t="s">
        <v>211</v>
      </c>
      <c r="C5" s="4" t="s">
        <v>212</v>
      </c>
      <c r="D5" s="4" t="s">
        <v>213</v>
      </c>
      <c r="E5" s="6" t="s">
        <v>214</v>
      </c>
      <c r="F5" s="4" t="s">
        <v>215</v>
      </c>
      <c r="G5" s="4" t="s">
        <v>216</v>
      </c>
    </row>
    <row r="6" customFormat="false" ht="15" hidden="false" customHeight="false" outlineLevel="0" collapsed="false">
      <c r="A6" s="4" t="s">
        <v>217</v>
      </c>
      <c r="B6" s="4" t="s">
        <v>218</v>
      </c>
      <c r="C6" s="4" t="s">
        <v>219</v>
      </c>
      <c r="D6" s="4" t="s">
        <v>220</v>
      </c>
      <c r="E6" s="6" t="s">
        <v>214</v>
      </c>
      <c r="F6" s="4" t="s">
        <v>215</v>
      </c>
      <c r="G6" s="4" t="s">
        <v>221</v>
      </c>
    </row>
    <row r="7" customFormat="false" ht="23.85" hidden="false" customHeight="false" outlineLevel="0" collapsed="false">
      <c r="A7" s="4" t="s">
        <v>222</v>
      </c>
      <c r="B7" s="4" t="s">
        <v>160</v>
      </c>
      <c r="C7" s="4" t="s">
        <v>223</v>
      </c>
      <c r="D7" s="4" t="s">
        <v>224</v>
      </c>
      <c r="E7" s="6" t="s">
        <v>214</v>
      </c>
      <c r="F7" s="4" t="s">
        <v>215</v>
      </c>
      <c r="G7" s="4" t="s">
        <v>225</v>
      </c>
    </row>
    <row r="8" customFormat="false" ht="15" hidden="false" customHeight="false" outlineLevel="0" collapsed="false">
      <c r="A8" s="4" t="s">
        <v>226</v>
      </c>
      <c r="B8" s="4" t="s">
        <v>227</v>
      </c>
      <c r="C8" s="4" t="s">
        <v>228</v>
      </c>
      <c r="D8" s="4" t="s">
        <v>229</v>
      </c>
      <c r="E8" s="6" t="s">
        <v>214</v>
      </c>
      <c r="F8" s="4" t="s">
        <v>215</v>
      </c>
      <c r="G8" s="4" t="s">
        <v>230</v>
      </c>
    </row>
    <row r="9" customFormat="false" ht="15" hidden="false" customHeight="false" outlineLevel="0" collapsed="false">
      <c r="A9" s="4" t="s">
        <v>231</v>
      </c>
      <c r="B9" s="4" t="s">
        <v>164</v>
      </c>
      <c r="C9" s="4" t="s">
        <v>232</v>
      </c>
      <c r="D9" s="4" t="s">
        <v>233</v>
      </c>
      <c r="E9" s="6" t="s">
        <v>214</v>
      </c>
      <c r="F9" s="4" t="s">
        <v>234</v>
      </c>
      <c r="G9" s="4" t="s">
        <v>235</v>
      </c>
    </row>
    <row r="10" customFormat="false" ht="23.85" hidden="false" customHeight="false" outlineLevel="0" collapsed="false">
      <c r="A10" s="4" t="s">
        <v>236</v>
      </c>
      <c r="B10" s="4" t="s">
        <v>237</v>
      </c>
      <c r="C10" s="4" t="s">
        <v>238</v>
      </c>
      <c r="D10" s="4" t="s">
        <v>239</v>
      </c>
      <c r="E10" s="6" t="s">
        <v>214</v>
      </c>
      <c r="F10" s="4" t="s">
        <v>234</v>
      </c>
      <c r="G10" s="4" t="s">
        <v>240</v>
      </c>
    </row>
    <row r="11" customFormat="false" ht="46.25" hidden="false" customHeight="false" outlineLevel="0" collapsed="false">
      <c r="A11" s="4" t="s">
        <v>241</v>
      </c>
      <c r="B11" s="4" t="s">
        <v>242</v>
      </c>
      <c r="C11" s="4" t="s">
        <v>243</v>
      </c>
      <c r="D11" s="4" t="s">
        <v>244</v>
      </c>
      <c r="E11" s="6" t="s">
        <v>245</v>
      </c>
      <c r="F11" s="4" t="s">
        <v>246</v>
      </c>
      <c r="G11" s="4" t="s">
        <v>247</v>
      </c>
    </row>
    <row r="12" customFormat="false" ht="23.85" hidden="false" customHeight="false" outlineLevel="0" collapsed="false">
      <c r="A12" s="4" t="s">
        <v>248</v>
      </c>
      <c r="B12" s="4" t="s">
        <v>249</v>
      </c>
      <c r="C12" s="4" t="s">
        <v>250</v>
      </c>
      <c r="D12" s="4" t="s">
        <v>251</v>
      </c>
      <c r="E12" s="17" t="s">
        <v>252</v>
      </c>
      <c r="F12" s="4" t="s">
        <v>234</v>
      </c>
      <c r="G12" s="4" t="s">
        <v>253</v>
      </c>
    </row>
    <row r="13" customFormat="false" ht="35.05" hidden="false" customHeight="false" outlineLevel="0" collapsed="false">
      <c r="A13" s="4" t="s">
        <v>254</v>
      </c>
      <c r="B13" s="4" t="s">
        <v>255</v>
      </c>
      <c r="C13" s="4" t="s">
        <v>256</v>
      </c>
      <c r="D13" s="4" t="s">
        <v>257</v>
      </c>
      <c r="E13" s="17" t="s">
        <v>252</v>
      </c>
      <c r="F13" s="4" t="s">
        <v>234</v>
      </c>
      <c r="G13" s="4" t="s">
        <v>258</v>
      </c>
    </row>
    <row r="14" customFormat="false" ht="23.85" hidden="false" customHeight="false" outlineLevel="0" collapsed="false">
      <c r="A14" s="4" t="s">
        <v>259</v>
      </c>
      <c r="B14" s="4" t="s">
        <v>168</v>
      </c>
      <c r="C14" s="4" t="s">
        <v>260</v>
      </c>
      <c r="D14" s="4" t="s">
        <v>261</v>
      </c>
      <c r="E14" s="17" t="s">
        <v>252</v>
      </c>
      <c r="F14" s="4" t="s">
        <v>262</v>
      </c>
      <c r="G14" s="4" t="s">
        <v>263</v>
      </c>
    </row>
    <row r="15" customFormat="false" ht="23.85" hidden="false" customHeight="false" outlineLevel="0" collapsed="false">
      <c r="A15" s="4" t="s">
        <v>264</v>
      </c>
      <c r="B15" s="4" t="s">
        <v>265</v>
      </c>
      <c r="C15" s="4" t="s">
        <v>266</v>
      </c>
      <c r="D15" s="4" t="s">
        <v>267</v>
      </c>
      <c r="E15" s="17" t="s">
        <v>252</v>
      </c>
      <c r="F15" s="4" t="s">
        <v>234</v>
      </c>
      <c r="G15" s="4" t="s">
        <v>268</v>
      </c>
    </row>
    <row r="16" customFormat="false" ht="15" hidden="false" customHeight="false" outlineLevel="0" collapsed="false">
      <c r="A16" s="4" t="s">
        <v>269</v>
      </c>
      <c r="B16" s="4" t="s">
        <v>270</v>
      </c>
      <c r="C16" s="4" t="s">
        <v>271</v>
      </c>
      <c r="D16" s="4" t="s">
        <v>272</v>
      </c>
      <c r="E16" s="17" t="s">
        <v>252</v>
      </c>
      <c r="F16" s="4" t="s">
        <v>262</v>
      </c>
      <c r="G16" s="4" t="s">
        <v>273</v>
      </c>
    </row>
    <row r="17" customFormat="false" ht="23.85" hidden="false" customHeight="false" outlineLevel="0" collapsed="false">
      <c r="A17" s="4" t="s">
        <v>274</v>
      </c>
      <c r="B17" s="4" t="s">
        <v>178</v>
      </c>
      <c r="C17" s="4" t="s">
        <v>275</v>
      </c>
      <c r="D17" s="4" t="s">
        <v>276</v>
      </c>
      <c r="E17" s="17" t="s">
        <v>252</v>
      </c>
      <c r="F17" s="4" t="s">
        <v>262</v>
      </c>
      <c r="G17" s="4" t="s">
        <v>277</v>
      </c>
    </row>
    <row r="18" customFormat="false" ht="15" hidden="false" customHeight="false" outlineLevel="0" collapsed="false">
      <c r="A18" s="4" t="s">
        <v>278</v>
      </c>
      <c r="B18" s="4" t="s">
        <v>279</v>
      </c>
      <c r="C18" s="4" t="s">
        <v>280</v>
      </c>
      <c r="D18" s="4" t="s">
        <v>281</v>
      </c>
      <c r="E18" s="17" t="s">
        <v>252</v>
      </c>
      <c r="F18" s="4" t="s">
        <v>262</v>
      </c>
      <c r="G18" s="4" t="s">
        <v>282</v>
      </c>
    </row>
    <row r="19" customFormat="false" ht="15" hidden="false" customHeight="false" outlineLevel="0" collapsed="false">
      <c r="A19" s="4" t="s">
        <v>283</v>
      </c>
      <c r="B19" s="4" t="s">
        <v>172</v>
      </c>
      <c r="C19" s="4" t="s">
        <v>284</v>
      </c>
      <c r="D19" s="4" t="s">
        <v>285</v>
      </c>
      <c r="E19" s="17" t="s">
        <v>252</v>
      </c>
      <c r="F19" s="4" t="s">
        <v>262</v>
      </c>
      <c r="G19" s="4" t="s">
        <v>286</v>
      </c>
    </row>
    <row r="20" customFormat="false" ht="35.05" hidden="false" customHeight="false" outlineLevel="0" collapsed="false">
      <c r="A20" s="4" t="s">
        <v>287</v>
      </c>
      <c r="B20" s="4" t="s">
        <v>288</v>
      </c>
      <c r="C20" s="4" t="s">
        <v>289</v>
      </c>
      <c r="D20" s="4" t="s">
        <v>290</v>
      </c>
      <c r="E20" s="17" t="s">
        <v>291</v>
      </c>
      <c r="F20" s="4" t="s">
        <v>292</v>
      </c>
      <c r="G20" s="4" t="s">
        <v>293</v>
      </c>
    </row>
    <row r="21" customFormat="false" ht="35.05" hidden="false" customHeight="false" outlineLevel="0" collapsed="false">
      <c r="A21" s="4" t="s">
        <v>294</v>
      </c>
      <c r="B21" s="4" t="s">
        <v>186</v>
      </c>
      <c r="C21" s="4" t="s">
        <v>295</v>
      </c>
      <c r="D21" s="4" t="s">
        <v>296</v>
      </c>
      <c r="E21" s="17" t="s">
        <v>291</v>
      </c>
      <c r="F21" s="4" t="s">
        <v>292</v>
      </c>
      <c r="G21" s="4" t="s">
        <v>297</v>
      </c>
    </row>
    <row r="22" customFormat="false" ht="15" hidden="false" customHeight="false" outlineLevel="0" collapsed="false">
      <c r="A22" s="4" t="s">
        <v>298</v>
      </c>
      <c r="B22" s="4" t="s">
        <v>182</v>
      </c>
      <c r="C22" s="4" t="s">
        <v>299</v>
      </c>
      <c r="D22" s="4" t="s">
        <v>300</v>
      </c>
      <c r="E22" s="18" t="s">
        <v>301</v>
      </c>
      <c r="F22" s="4" t="s">
        <v>302</v>
      </c>
      <c r="G22" s="4" t="s">
        <v>303</v>
      </c>
    </row>
    <row r="23" customFormat="false" ht="23.85" hidden="false" customHeight="false" outlineLevel="0" collapsed="false">
      <c r="A23" s="4" t="s">
        <v>304</v>
      </c>
      <c r="B23" s="4" t="s">
        <v>305</v>
      </c>
      <c r="C23" s="4" t="s">
        <v>306</v>
      </c>
      <c r="D23" s="4" t="s">
        <v>307</v>
      </c>
      <c r="E23" s="18" t="s">
        <v>308</v>
      </c>
      <c r="F23" s="4" t="s">
        <v>309</v>
      </c>
      <c r="G23" s="4" t="s">
        <v>310</v>
      </c>
    </row>
    <row r="24" customFormat="false" ht="23.85" hidden="false" customHeight="false" outlineLevel="0" collapsed="false">
      <c r="A24" s="4" t="s">
        <v>311</v>
      </c>
      <c r="B24" s="4" t="s">
        <v>199</v>
      </c>
      <c r="C24" s="4" t="s">
        <v>312</v>
      </c>
      <c r="D24" s="4" t="s">
        <v>313</v>
      </c>
      <c r="E24" s="18" t="s">
        <v>314</v>
      </c>
      <c r="F24" s="4" t="s">
        <v>302</v>
      </c>
      <c r="G24" s="4" t="s">
        <v>315</v>
      </c>
    </row>
    <row r="25" customFormat="false" ht="23.85" hidden="false" customHeight="false" outlineLevel="0" collapsed="false">
      <c r="A25" s="4" t="s">
        <v>316</v>
      </c>
      <c r="B25" s="4" t="s">
        <v>317</v>
      </c>
      <c r="C25" s="4" t="s">
        <v>318</v>
      </c>
      <c r="D25" s="4" t="s">
        <v>319</v>
      </c>
      <c r="E25" s="19" t="s">
        <v>320</v>
      </c>
      <c r="F25" s="4" t="s">
        <v>302</v>
      </c>
      <c r="G25" s="4" t="s">
        <v>321</v>
      </c>
    </row>
    <row r="26" customFormat="false" ht="23.85" hidden="false" customHeight="false" outlineLevel="0" collapsed="false">
      <c r="A26" s="4" t="s">
        <v>322</v>
      </c>
      <c r="B26" s="4" t="s">
        <v>323</v>
      </c>
      <c r="C26" s="4" t="s">
        <v>324</v>
      </c>
      <c r="D26" s="4" t="s">
        <v>325</v>
      </c>
      <c r="E26" s="19" t="s">
        <v>320</v>
      </c>
      <c r="F26" s="4" t="s">
        <v>302</v>
      </c>
      <c r="G26" s="4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52"/>
  </cols>
  <sheetData>
    <row r="1" customFormat="false" ht="16.1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15" hidden="false" customHeight="false" outlineLevel="0" collapsed="false">
      <c r="A4" s="3" t="s">
        <v>2</v>
      </c>
      <c r="B4" s="3" t="s">
        <v>329</v>
      </c>
      <c r="C4" s="3" t="s">
        <v>330</v>
      </c>
      <c r="D4" s="20" t="s">
        <v>331</v>
      </c>
      <c r="E4" s="20" t="s">
        <v>332</v>
      </c>
      <c r="F4" s="20" t="s">
        <v>333</v>
      </c>
      <c r="G4" s="20" t="s">
        <v>334</v>
      </c>
      <c r="H4" s="20" t="s">
        <v>335</v>
      </c>
      <c r="I4" s="20" t="s">
        <v>336</v>
      </c>
      <c r="J4" s="20" t="s">
        <v>337</v>
      </c>
    </row>
    <row r="5" customFormat="false" ht="15" hidden="false" customHeight="false" outlineLevel="0" collapsed="false">
      <c r="A5" s="4" t="n">
        <v>1</v>
      </c>
      <c r="B5" s="4" t="s">
        <v>338</v>
      </c>
      <c r="C5" s="4" t="s">
        <v>339</v>
      </c>
      <c r="D5" s="14" t="s">
        <v>340</v>
      </c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4" t="n">
        <v>2</v>
      </c>
      <c r="B6" s="4" t="s">
        <v>341</v>
      </c>
      <c r="C6" s="4" t="s">
        <v>339</v>
      </c>
      <c r="D6" s="14" t="s">
        <v>340</v>
      </c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n">
        <v>3</v>
      </c>
      <c r="B7" s="4" t="s">
        <v>342</v>
      </c>
      <c r="C7" s="4" t="s">
        <v>339</v>
      </c>
      <c r="D7" s="14" t="s">
        <v>340</v>
      </c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n">
        <v>4</v>
      </c>
      <c r="B8" s="4" t="s">
        <v>343</v>
      </c>
      <c r="C8" s="4" t="s">
        <v>339</v>
      </c>
      <c r="D8" s="14" t="s">
        <v>340</v>
      </c>
      <c r="E8" s="4"/>
      <c r="F8" s="4"/>
      <c r="G8" s="4"/>
      <c r="H8" s="4"/>
      <c r="I8" s="4"/>
      <c r="J8" s="4" t="s">
        <v>344</v>
      </c>
    </row>
    <row r="9" customFormat="false" ht="15" hidden="false" customHeight="false" outlineLevel="0" collapsed="false">
      <c r="A9" s="4" t="n">
        <v>5</v>
      </c>
      <c r="B9" s="4" t="s">
        <v>345</v>
      </c>
      <c r="C9" s="4" t="s">
        <v>339</v>
      </c>
      <c r="D9" s="14" t="s">
        <v>340</v>
      </c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4" t="n">
        <v>6</v>
      </c>
      <c r="B10" s="4" t="s">
        <v>346</v>
      </c>
      <c r="C10" s="4" t="s">
        <v>339</v>
      </c>
      <c r="D10" s="17" t="s">
        <v>347</v>
      </c>
      <c r="E10" s="4"/>
      <c r="F10" s="4" t="s">
        <v>33</v>
      </c>
      <c r="G10" s="4" t="s">
        <v>348</v>
      </c>
      <c r="H10" s="4" t="s">
        <v>349</v>
      </c>
      <c r="I10" s="4"/>
      <c r="J10" s="4" t="s">
        <v>350</v>
      </c>
    </row>
    <row r="11" customFormat="false" ht="23.85" hidden="false" customHeight="false" outlineLevel="0" collapsed="false">
      <c r="A11" s="4" t="n">
        <v>7</v>
      </c>
      <c r="B11" s="4" t="s">
        <v>351</v>
      </c>
      <c r="C11" s="4" t="s">
        <v>125</v>
      </c>
      <c r="D11" s="7" t="s">
        <v>352</v>
      </c>
      <c r="E11" s="4"/>
      <c r="F11" s="4" t="s">
        <v>53</v>
      </c>
      <c r="G11" s="4" t="s">
        <v>348</v>
      </c>
      <c r="H11" s="4" t="s">
        <v>353</v>
      </c>
      <c r="I11" s="4"/>
      <c r="J11" s="4" t="s">
        <v>354</v>
      </c>
    </row>
    <row r="12" customFormat="false" ht="15" hidden="false" customHeight="false" outlineLevel="0" collapsed="false">
      <c r="A12" s="4" t="n">
        <v>8</v>
      </c>
      <c r="B12" s="4" t="s">
        <v>112</v>
      </c>
      <c r="C12" s="4" t="s">
        <v>125</v>
      </c>
      <c r="D12" s="14" t="s">
        <v>340</v>
      </c>
      <c r="E12" s="4"/>
      <c r="F12" s="4" t="s">
        <v>355</v>
      </c>
      <c r="G12" s="4"/>
      <c r="H12" s="4"/>
      <c r="I12" s="4"/>
      <c r="J12" s="4" t="s">
        <v>356</v>
      </c>
    </row>
    <row r="13" customFormat="false" ht="15" hidden="false" customHeight="false" outlineLevel="0" collapsed="false">
      <c r="A13" s="4" t="n">
        <v>9</v>
      </c>
      <c r="B13" s="4" t="s">
        <v>357</v>
      </c>
      <c r="C13" s="4" t="s">
        <v>125</v>
      </c>
      <c r="D13" s="17" t="s">
        <v>347</v>
      </c>
      <c r="E13" s="4"/>
      <c r="F13" s="4" t="s">
        <v>43</v>
      </c>
      <c r="G13" s="4" t="s">
        <v>348</v>
      </c>
      <c r="H13" s="4"/>
      <c r="I13" s="4"/>
      <c r="J13" s="4" t="s">
        <v>358</v>
      </c>
    </row>
    <row r="14" customFormat="false" ht="15" hidden="false" customHeight="false" outlineLevel="0" collapsed="false">
      <c r="A14" s="4" t="n">
        <v>10</v>
      </c>
      <c r="B14" s="4" t="s">
        <v>359</v>
      </c>
      <c r="C14" s="4" t="s">
        <v>125</v>
      </c>
      <c r="D14" s="14" t="s">
        <v>340</v>
      </c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4" t="n">
        <v>11</v>
      </c>
      <c r="B15" s="4" t="s">
        <v>360</v>
      </c>
      <c r="C15" s="4" t="s">
        <v>125</v>
      </c>
      <c r="D15" s="14" t="s">
        <v>340</v>
      </c>
      <c r="E15" s="4"/>
      <c r="F15" s="4"/>
      <c r="G15" s="4"/>
      <c r="H15" s="4"/>
      <c r="I15" s="4"/>
      <c r="J15" s="4"/>
    </row>
    <row r="16" customFormat="false" ht="23.85" hidden="false" customHeight="false" outlineLevel="0" collapsed="false">
      <c r="A16" s="4" t="n">
        <v>12</v>
      </c>
      <c r="B16" s="4" t="s">
        <v>361</v>
      </c>
      <c r="C16" s="4" t="s">
        <v>125</v>
      </c>
      <c r="D16" s="17" t="s">
        <v>362</v>
      </c>
      <c r="E16" s="4"/>
      <c r="F16" s="4"/>
      <c r="G16" s="4"/>
      <c r="H16" s="4"/>
      <c r="I16" s="4"/>
      <c r="J16" s="4" t="s">
        <v>363</v>
      </c>
    </row>
    <row r="17" customFormat="false" ht="15" hidden="false" customHeight="false" outlineLevel="0" collapsed="false">
      <c r="A17" s="4" t="n">
        <v>13</v>
      </c>
      <c r="B17" s="4" t="s">
        <v>364</v>
      </c>
      <c r="C17" s="4" t="s">
        <v>365</v>
      </c>
      <c r="D17" s="14" t="s">
        <v>340</v>
      </c>
      <c r="E17" s="4"/>
      <c r="F17" s="4"/>
      <c r="G17" s="4"/>
      <c r="H17" s="4"/>
      <c r="I17" s="4"/>
      <c r="J17" s="4" t="s">
        <v>366</v>
      </c>
    </row>
    <row r="18" customFormat="false" ht="23.85" hidden="false" customHeight="false" outlineLevel="0" collapsed="false">
      <c r="A18" s="4" t="n">
        <v>14</v>
      </c>
      <c r="B18" s="4" t="s">
        <v>367</v>
      </c>
      <c r="C18" s="4" t="s">
        <v>365</v>
      </c>
      <c r="D18" s="17" t="s">
        <v>362</v>
      </c>
      <c r="E18" s="4"/>
      <c r="F18" s="4" t="s">
        <v>16</v>
      </c>
      <c r="G18" s="4" t="s">
        <v>348</v>
      </c>
      <c r="H18" s="4" t="s">
        <v>368</v>
      </c>
      <c r="I18" s="4"/>
      <c r="J18" s="4" t="s">
        <v>369</v>
      </c>
    </row>
    <row r="19" customFormat="false" ht="15" hidden="false" customHeight="false" outlineLevel="0" collapsed="false">
      <c r="A19" s="4" t="n">
        <v>15</v>
      </c>
      <c r="B19" s="4" t="s">
        <v>370</v>
      </c>
      <c r="C19" s="4" t="s">
        <v>365</v>
      </c>
      <c r="D19" s="14" t="s">
        <v>340</v>
      </c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4" t="n">
        <v>16</v>
      </c>
      <c r="B20" s="4" t="s">
        <v>371</v>
      </c>
      <c r="C20" s="4" t="s">
        <v>120</v>
      </c>
      <c r="D20" s="14" t="s">
        <v>340</v>
      </c>
      <c r="E20" s="4"/>
      <c r="F20" s="4"/>
      <c r="G20" s="4"/>
      <c r="H20" s="4"/>
      <c r="I20" s="4"/>
      <c r="J20" s="4" t="s">
        <v>372</v>
      </c>
    </row>
    <row r="21" customFormat="false" ht="15" hidden="false" customHeight="false" outlineLevel="0" collapsed="false">
      <c r="A21" s="4" t="n">
        <v>17</v>
      </c>
      <c r="B21" s="4" t="s">
        <v>373</v>
      </c>
      <c r="C21" s="4" t="s">
        <v>120</v>
      </c>
      <c r="D21" s="14" t="s">
        <v>340</v>
      </c>
      <c r="E21" s="4"/>
      <c r="F21" s="4"/>
      <c r="G21" s="4"/>
      <c r="H21" s="4"/>
      <c r="I21" s="4"/>
      <c r="J21" s="4" t="s">
        <v>374</v>
      </c>
    </row>
    <row r="22" customFormat="false" ht="15" hidden="false" customHeight="false" outlineLevel="0" collapsed="false">
      <c r="A22" s="4" t="n">
        <v>18</v>
      </c>
      <c r="B22" s="4" t="s">
        <v>375</v>
      </c>
      <c r="C22" s="4" t="s">
        <v>120</v>
      </c>
      <c r="D22" s="14" t="s">
        <v>340</v>
      </c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 t="n">
        <v>19</v>
      </c>
      <c r="B23" s="4" t="s">
        <v>376</v>
      </c>
      <c r="C23" s="4" t="s">
        <v>120</v>
      </c>
      <c r="D23" s="14" t="s">
        <v>340</v>
      </c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4" t="n">
        <v>20</v>
      </c>
      <c r="B24" s="4" t="s">
        <v>377</v>
      </c>
      <c r="C24" s="4" t="s">
        <v>120</v>
      </c>
      <c r="D24" s="17" t="s">
        <v>347</v>
      </c>
      <c r="E24" s="4"/>
      <c r="F24" s="4" t="s">
        <v>67</v>
      </c>
      <c r="G24" s="4" t="s">
        <v>348</v>
      </c>
      <c r="H24" s="4" t="s">
        <v>378</v>
      </c>
      <c r="I24" s="4"/>
      <c r="J24" s="4" t="s">
        <v>379</v>
      </c>
    </row>
    <row r="25" customFormat="false" ht="15" hidden="false" customHeight="false" outlineLevel="0" collapsed="false">
      <c r="A25" s="4" t="n">
        <v>21</v>
      </c>
      <c r="B25" s="4" t="s">
        <v>380</v>
      </c>
      <c r="C25" s="4" t="s">
        <v>381</v>
      </c>
      <c r="D25" s="14" t="s">
        <v>340</v>
      </c>
      <c r="E25" s="4"/>
      <c r="F25" s="4"/>
      <c r="G25" s="4"/>
      <c r="H25" s="4"/>
      <c r="I25" s="4"/>
      <c r="J25" s="4" t="s">
        <v>382</v>
      </c>
    </row>
    <row r="26" customFormat="false" ht="15" hidden="false" customHeight="false" outlineLevel="0" collapsed="false">
      <c r="A26" s="4" t="n">
        <v>22</v>
      </c>
      <c r="B26" s="4" t="s">
        <v>383</v>
      </c>
      <c r="C26" s="4" t="s">
        <v>381</v>
      </c>
      <c r="D26" s="14" t="s">
        <v>340</v>
      </c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4" t="n">
        <v>23</v>
      </c>
      <c r="B27" s="4" t="s">
        <v>384</v>
      </c>
      <c r="C27" s="4" t="s">
        <v>381</v>
      </c>
      <c r="D27" s="14" t="s">
        <v>340</v>
      </c>
      <c r="E27" s="4"/>
      <c r="F27" s="4"/>
      <c r="G27" s="4"/>
      <c r="H27" s="4"/>
      <c r="I27" s="4"/>
      <c r="J27" s="4"/>
    </row>
    <row r="28" customFormat="false" ht="15" hidden="false" customHeight="false" outlineLevel="0" collapsed="false">
      <c r="A28" s="4" t="n">
        <v>24</v>
      </c>
      <c r="B28" s="4" t="s">
        <v>385</v>
      </c>
      <c r="C28" s="4" t="s">
        <v>381</v>
      </c>
      <c r="D28" s="14" t="s">
        <v>340</v>
      </c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4" t="n">
        <v>25</v>
      </c>
      <c r="B29" s="4" t="s">
        <v>386</v>
      </c>
      <c r="C29" s="4" t="s">
        <v>46</v>
      </c>
      <c r="D29" s="14" t="s">
        <v>340</v>
      </c>
      <c r="E29" s="4"/>
      <c r="F29" s="4"/>
      <c r="G29" s="4"/>
      <c r="H29" s="4"/>
      <c r="I29" s="4"/>
      <c r="J29" s="4" t="s">
        <v>387</v>
      </c>
    </row>
    <row r="30" customFormat="false" ht="15" hidden="false" customHeight="false" outlineLevel="0" collapsed="false">
      <c r="A30" s="4" t="n">
        <v>26</v>
      </c>
      <c r="B30" s="4" t="s">
        <v>388</v>
      </c>
      <c r="C30" s="4" t="s">
        <v>46</v>
      </c>
      <c r="D30" s="14" t="s">
        <v>340</v>
      </c>
      <c r="E30" s="4"/>
      <c r="F30" s="4"/>
      <c r="G30" s="4"/>
      <c r="H30" s="4"/>
      <c r="I30" s="4"/>
      <c r="J30" s="4"/>
    </row>
    <row r="31" customFormat="false" ht="23.85" hidden="false" customHeight="false" outlineLevel="0" collapsed="false">
      <c r="A31" s="4" t="n">
        <v>27</v>
      </c>
      <c r="B31" s="4" t="s">
        <v>389</v>
      </c>
      <c r="C31" s="4" t="s">
        <v>46</v>
      </c>
      <c r="D31" s="14" t="s">
        <v>340</v>
      </c>
      <c r="E31" s="4"/>
      <c r="F31" s="4"/>
      <c r="G31" s="4"/>
      <c r="H31" s="4"/>
      <c r="I31" s="4"/>
      <c r="J31" s="4" t="s">
        <v>390</v>
      </c>
    </row>
    <row r="32" customFormat="false" ht="23.85" hidden="false" customHeight="false" outlineLevel="0" collapsed="false">
      <c r="A32" s="4" t="n">
        <v>28</v>
      </c>
      <c r="B32" s="4" t="s">
        <v>391</v>
      </c>
      <c r="C32" s="4" t="s">
        <v>46</v>
      </c>
      <c r="D32" s="7" t="s">
        <v>352</v>
      </c>
      <c r="E32" s="4"/>
      <c r="F32" s="4" t="s">
        <v>392</v>
      </c>
      <c r="G32" s="4" t="s">
        <v>348</v>
      </c>
      <c r="H32" s="4" t="s">
        <v>393</v>
      </c>
      <c r="I32" s="4"/>
      <c r="J32" s="4" t="s">
        <v>394</v>
      </c>
    </row>
    <row r="33" customFormat="false" ht="15" hidden="false" customHeight="false" outlineLevel="0" collapsed="false">
      <c r="A33" s="4" t="n">
        <v>29</v>
      </c>
      <c r="B33" s="4" t="s">
        <v>395</v>
      </c>
      <c r="C33" s="4" t="s">
        <v>46</v>
      </c>
      <c r="D33" s="17" t="s">
        <v>362</v>
      </c>
      <c r="E33" s="4"/>
      <c r="F33" s="4"/>
      <c r="G33" s="4" t="s">
        <v>348</v>
      </c>
      <c r="H33" s="4"/>
      <c r="I33" s="4"/>
      <c r="J33" s="4" t="s">
        <v>396</v>
      </c>
    </row>
    <row r="35" customFormat="false" ht="15" hidden="false" customHeight="false" outlineLevel="0" collapsed="false">
      <c r="B35" s="21" t="s">
        <v>397</v>
      </c>
    </row>
    <row r="36" customFormat="false" ht="15" hidden="false" customHeight="false" outlineLevel="0" collapsed="false">
      <c r="B36" s="22" t="s">
        <v>340</v>
      </c>
      <c r="C36" s="22" t="n">
        <f aca="false">COUNTIF(D5:D33,"Not started")</f>
        <v>21</v>
      </c>
    </row>
    <row r="37" customFormat="false" ht="15" hidden="false" customHeight="false" outlineLevel="0" collapsed="false">
      <c r="B37" s="22" t="s">
        <v>398</v>
      </c>
      <c r="C37" s="22" t="n">
        <f aca="false">COUNTIF(D5:D33,"In progress")+COUNTIF(D5:D33,"Partially live")+COUNTIF(D5:D33,"Submitted")</f>
        <v>6</v>
      </c>
    </row>
    <row r="38" customFormat="false" ht="15" hidden="false" customHeight="false" outlineLevel="0" collapsed="false">
      <c r="B38" s="22" t="s">
        <v>399</v>
      </c>
      <c r="C38" s="22" t="n">
        <f aca="false">COUNTIF(D5:D33,"Live")+COUNTIF(D5:D33,"Live (optimize)")+COUNTIF(D5:D33,"Indexed")</f>
        <v>2</v>
      </c>
    </row>
    <row r="39" customFormat="false" ht="15" hidden="false" customHeight="false" outlineLevel="0" collapsed="false">
      <c r="B39" s="22" t="s">
        <v>400</v>
      </c>
      <c r="C39" s="22" t="n">
        <f aca="false">COUNTIF(D5:D33,"Blocked")</f>
        <v>0</v>
      </c>
    </row>
    <row r="40" customFormat="false" ht="15" hidden="false" customHeight="false" outlineLevel="0" collapsed="false">
      <c r="B40" s="22" t="s">
        <v>401</v>
      </c>
      <c r="C40" s="22" t="n">
        <f aca="false">COUNTA(A5:A33)</f>
        <v>29</v>
      </c>
    </row>
  </sheetData>
  <dataValidations count="1">
    <dataValidation allowBlank="true" errorStyle="stop" operator="between" showDropDown="false" showErrorMessage="false" showInputMessage="false" sqref="D5:D33" type="list">
      <formula1>"Not started,In progress,Submitted,Partially live,Live (optimize),Live,Indexed,Blocked"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2026-08-10T12:39:14Z</dcterms:created>
  <dc:creator>openpyxl</dc:creator>
  <dc:description/>
  <dc:language>en-US</dc:language>
  <cp:lastModifiedBy/>
  <dcterms:modified xsi:type="dcterms:W3CDTF">2026-08-10T12:39:14Z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